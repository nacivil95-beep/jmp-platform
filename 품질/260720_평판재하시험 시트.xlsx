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omments12.xml" ContentType="application/vnd.openxmlformats-officedocument.spreadsheetml.comments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omments13.xml" ContentType="application/vnd.openxmlformats-officedocument.spreadsheetml.comments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omments14.xml" ContentType="application/vnd.openxmlformats-officedocument.spreadsheetml.comments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omments15.xml" ContentType="application/vnd.openxmlformats-officedocument.spreadsheetml.comments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omments16.xml" ContentType="application/vnd.openxmlformats-officedocument.spreadsheetml.comments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omments17.xml" ContentType="application/vnd.openxmlformats-officedocument.spreadsheetml.comments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omments18.xml" ContentType="application/vnd.openxmlformats-officedocument.spreadsheetml.comments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omments19.xml" ContentType="application/vnd.openxmlformats-officedocument.spreadsheetml.comments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omments20.xml" ContentType="application/vnd.openxmlformats-officedocument.spreadsheetml.comments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omments21.xml" ContentType="application/vnd.openxmlformats-officedocument.spreadsheetml.comments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omments22.xml" ContentType="application/vnd.openxmlformats-officedocument.spreadsheetml.comments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omments23.xml" ContentType="application/vnd.openxmlformats-officedocument.spreadsheetml.comments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omments24.xml" ContentType="application/vnd.openxmlformats-officedocument.spreadsheetml.comments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omments25.xml" ContentType="application/vnd.openxmlformats-officedocument.spreadsheetml.comments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omments26.xml" ContentType="application/vnd.openxmlformats-officedocument.spreadsheetml.comments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omments27.xml" ContentType="application/vnd.openxmlformats-officedocument.spreadsheetml.comments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omments28.xml" ContentType="application/vnd.openxmlformats-officedocument.spreadsheetml.comments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omments29.xml" ContentType="application/vnd.openxmlformats-officedocument.spreadsheetml.comments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omments30.xml" ContentType="application/vnd.openxmlformats-officedocument.spreadsheetml.comments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omments31.xml" ContentType="application/vnd.openxmlformats-officedocument.spreadsheetml.comments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omments32.xml" ContentType="application/vnd.openxmlformats-officedocument.spreadsheetml.comments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omments33.xml" ContentType="application/vnd.openxmlformats-officedocument.spreadsheetml.comments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omments34.xml" ContentType="application/vnd.openxmlformats-officedocument.spreadsheetml.comments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omments35.xml" ContentType="application/vnd.openxmlformats-officedocument.spreadsheetml.comments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omments36.xml" ContentType="application/vnd.openxmlformats-officedocument.spreadsheetml.comments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omments37.xml" ContentType="application/vnd.openxmlformats-officedocument.spreadsheetml.comments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omments38.xml" ContentType="application/vnd.openxmlformats-officedocument.spreadsheetml.comments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omments39.xml" ContentType="application/vnd.openxmlformats-officedocument.spreadsheetml.comments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omments40.xml" ContentType="application/vnd.openxmlformats-officedocument.spreadsheetml.comments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omments41.xml" ContentType="application/vnd.openxmlformats-officedocument.spreadsheetml.comments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omments42.xml" ContentType="application/vnd.openxmlformats-officedocument.spreadsheetml.comments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omments43.xml" ContentType="application/vnd.openxmlformats-officedocument.spreadsheetml.comments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omments44.xml" ContentType="application/vnd.openxmlformats-officedocument.spreadsheetml.comments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omments45.xml" ContentType="application/vnd.openxmlformats-officedocument.spreadsheetml.comments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omments46.xml" ContentType="application/vnd.openxmlformats-officedocument.spreadsheetml.comments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omments47.xml" ContentType="application/vnd.openxmlformats-officedocument.spreadsheetml.comments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omments48.xml" ContentType="application/vnd.openxmlformats-officedocument.spreadsheetml.comments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omments49.xml" ContentType="application/vnd.openxmlformats-officedocument.spreadsheetml.comments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omments50.xml" ContentType="application/vnd.openxmlformats-officedocument.spreadsheetml.comments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omments51.xml" ContentType="application/vnd.openxmlformats-officedocument.spreadsheetml.comments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omments52.xml" ContentType="application/vnd.openxmlformats-officedocument.spreadsheetml.comments+xml"/>
  <Override PartName="/xl/charts/chart5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문정수\★ 진천산업단지\★ 시험\평판재하시험\"/>
    </mc:Choice>
  </mc:AlternateContent>
  <xr:revisionPtr revIDLastSave="0" documentId="13_ncr:1_{503003E4-1912-4EAE-80B4-4583F669A4BC}" xr6:coauthVersionLast="47" xr6:coauthVersionMax="47" xr10:uidLastSave="{00000000-0000-0000-0000-000000000000}"/>
  <bookViews>
    <workbookView xWindow="28680" yWindow="-120" windowWidth="29040" windowHeight="15720" tabRatio="795" activeTab="4" xr2:uid="{00000000-000D-0000-FFFF-FFFF00000000}"/>
  </bookViews>
  <sheets>
    <sheet name="AUTO (2)" sheetId="267" r:id="rId1"/>
    <sheet name="AUTO" sheetId="18" r:id="rId2"/>
    <sheet name="List" sheetId="122" r:id="rId3"/>
    <sheet name="49" sheetId="285" r:id="rId4"/>
    <sheet name="48" sheetId="286" r:id="rId5"/>
    <sheet name="47" sheetId="283" r:id="rId6"/>
    <sheet name="46" sheetId="284" r:id="rId7"/>
    <sheet name="45" sheetId="281" r:id="rId8"/>
    <sheet name="44" sheetId="282" r:id="rId9"/>
    <sheet name="43" sheetId="279" r:id="rId10"/>
    <sheet name="42" sheetId="280" r:id="rId11"/>
    <sheet name="41" sheetId="277" r:id="rId12"/>
    <sheet name="40" sheetId="278" r:id="rId13"/>
    <sheet name="39" sheetId="276" r:id="rId14"/>
    <sheet name="38" sheetId="274" r:id="rId15"/>
    <sheet name="37" sheetId="273" r:id="rId16"/>
    <sheet name="36" sheetId="271" r:id="rId17"/>
    <sheet name="35" sheetId="272" r:id="rId18"/>
    <sheet name="34" sheetId="275" r:id="rId19"/>
    <sheet name="33" sheetId="270" r:id="rId20"/>
    <sheet name="32" sheetId="268" r:id="rId21"/>
    <sheet name="31" sheetId="269" r:id="rId22"/>
    <sheet name="30" sheetId="263" r:id="rId23"/>
    <sheet name="29" sheetId="264" r:id="rId24"/>
    <sheet name="28" sheetId="265" r:id="rId25"/>
    <sheet name="27" sheetId="260" r:id="rId26"/>
    <sheet name="26" sheetId="261" r:id="rId27"/>
    <sheet name="25" sheetId="262" r:id="rId28"/>
    <sheet name="24" sheetId="256" r:id="rId29"/>
    <sheet name="23" sheetId="257" r:id="rId30"/>
    <sheet name="22" sheetId="258" r:id="rId31"/>
    <sheet name="21" sheetId="259" r:id="rId32"/>
    <sheet name="20" sheetId="252" r:id="rId33"/>
    <sheet name="19" sheetId="253" r:id="rId34"/>
    <sheet name="18" sheetId="254" r:id="rId35"/>
    <sheet name="17" sheetId="255" r:id="rId36"/>
    <sheet name="16" sheetId="251" r:id="rId37"/>
    <sheet name="15" sheetId="250" r:id="rId38"/>
    <sheet name="14" sheetId="249" r:id="rId39"/>
    <sheet name="13" sheetId="248" r:id="rId40"/>
    <sheet name="12" sheetId="247" r:id="rId41"/>
    <sheet name="11" sheetId="246" r:id="rId42"/>
    <sheet name="10" sheetId="245" r:id="rId43"/>
    <sheet name="9" sheetId="244" r:id="rId44"/>
    <sheet name="8" sheetId="243" r:id="rId45"/>
    <sheet name="7" sheetId="242" r:id="rId46"/>
    <sheet name="6" sheetId="239" r:id="rId47"/>
    <sheet name="5" sheetId="238" r:id="rId48"/>
    <sheet name="4" sheetId="240" r:id="rId49"/>
    <sheet name="3" sheetId="241" r:id="rId50"/>
    <sheet name="2" sheetId="237" r:id="rId51"/>
    <sheet name="1" sheetId="121" r:id="rId52"/>
    <sheet name="517" sheetId="223" r:id="rId53"/>
    <sheet name="양식(40)" sheetId="235" r:id="rId54"/>
    <sheet name="양식(30)" sheetId="236" r:id="rId55"/>
  </sheets>
  <definedNames>
    <definedName name="_Fill" localSheetId="51" hidden="1">#REF!</definedName>
    <definedName name="_Fill" localSheetId="42" hidden="1">#REF!</definedName>
    <definedName name="_Fill" localSheetId="41" hidden="1">#REF!</definedName>
    <definedName name="_Fill" localSheetId="40" hidden="1">#REF!</definedName>
    <definedName name="_Fill" localSheetId="39" hidden="1">#REF!</definedName>
    <definedName name="_Fill" localSheetId="38" hidden="1">#REF!</definedName>
    <definedName name="_Fill" localSheetId="37" hidden="1">#REF!</definedName>
    <definedName name="_Fill" localSheetId="36" hidden="1">#REF!</definedName>
    <definedName name="_Fill" localSheetId="35" hidden="1">#REF!</definedName>
    <definedName name="_Fill" localSheetId="34" hidden="1">#REF!</definedName>
    <definedName name="_Fill" localSheetId="33" hidden="1">#REF!</definedName>
    <definedName name="_Fill" localSheetId="50" hidden="1">#REF!</definedName>
    <definedName name="_Fill" localSheetId="32" hidden="1">#REF!</definedName>
    <definedName name="_Fill" localSheetId="31" hidden="1">#REF!</definedName>
    <definedName name="_Fill" localSheetId="30" hidden="1">#REF!</definedName>
    <definedName name="_Fill" localSheetId="29" hidden="1">#REF!</definedName>
    <definedName name="_Fill" localSheetId="28" hidden="1">#REF!</definedName>
    <definedName name="_Fill" localSheetId="27" hidden="1">#REF!</definedName>
    <definedName name="_Fill" localSheetId="26" hidden="1">#REF!</definedName>
    <definedName name="_Fill" localSheetId="25" hidden="1">#REF!</definedName>
    <definedName name="_Fill" localSheetId="24" hidden="1">#REF!</definedName>
    <definedName name="_Fill" localSheetId="23" hidden="1">#REF!</definedName>
    <definedName name="_Fill" localSheetId="49" hidden="1">#REF!</definedName>
    <definedName name="_Fill" localSheetId="22" hidden="1">#REF!</definedName>
    <definedName name="_Fill" localSheetId="21" hidden="1">#REF!</definedName>
    <definedName name="_Fill" localSheetId="20" hidden="1">#REF!</definedName>
    <definedName name="_Fill" localSheetId="19" hidden="1">#REF!</definedName>
    <definedName name="_Fill" localSheetId="18" hidden="1">#REF!</definedName>
    <definedName name="_Fill" localSheetId="17" hidden="1">#REF!</definedName>
    <definedName name="_Fill" localSheetId="16" hidden="1">#REF!</definedName>
    <definedName name="_Fill" localSheetId="15" hidden="1">#REF!</definedName>
    <definedName name="_Fill" localSheetId="14" hidden="1">#REF!</definedName>
    <definedName name="_Fill" localSheetId="13" hidden="1">#REF!</definedName>
    <definedName name="_Fill" localSheetId="48" hidden="1">#REF!</definedName>
    <definedName name="_Fill" localSheetId="12" hidden="1">#REF!</definedName>
    <definedName name="_Fill" localSheetId="11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localSheetId="7" hidden="1">#REF!</definedName>
    <definedName name="_Fill" localSheetId="6" hidden="1">#REF!</definedName>
    <definedName name="_Fill" localSheetId="5" hidden="1">#REF!</definedName>
    <definedName name="_Fill" localSheetId="4" hidden="1">#REF!</definedName>
    <definedName name="_Fill" localSheetId="3" hidden="1">#REF!</definedName>
    <definedName name="_Fill" localSheetId="47" hidden="1">#REF!</definedName>
    <definedName name="_Fill" localSheetId="46" hidden="1">#REF!</definedName>
    <definedName name="_Fill" localSheetId="45" hidden="1">#REF!</definedName>
    <definedName name="_Fill" localSheetId="44" hidden="1">#REF!</definedName>
    <definedName name="_Fill" localSheetId="43" hidden="1">#REF!</definedName>
    <definedName name="_Fill" localSheetId="54" hidden="1">#REF!</definedName>
    <definedName name="_Fill" localSheetId="53" hidden="1">#REF!</definedName>
    <definedName name="_Fill" hidden="1">#REF!</definedName>
    <definedName name="_xlnm._FilterDatabase" localSheetId="2" hidden="1">List!$A$3:$F$54</definedName>
    <definedName name="_xlnm.Print_Area" localSheetId="51">'1'!$A$1:$J$44</definedName>
    <definedName name="_xlnm.Print_Area" localSheetId="42">'10'!$A$1:$J$44</definedName>
    <definedName name="_xlnm.Print_Area" localSheetId="41">'11'!$A$1:$J$44</definedName>
    <definedName name="_xlnm.Print_Area" localSheetId="40">'12'!$A$1:$J$44</definedName>
    <definedName name="_xlnm.Print_Area" localSheetId="39">'13'!$A$1:$J$44</definedName>
    <definedName name="_xlnm.Print_Area" localSheetId="38">'14'!$A$1:$J$44</definedName>
    <definedName name="_xlnm.Print_Area" localSheetId="37">'15'!$A$1:$J$44</definedName>
    <definedName name="_xlnm.Print_Area" localSheetId="36">'16'!$A$1:$J$44</definedName>
    <definedName name="_xlnm.Print_Area" localSheetId="35">'17'!$A$1:$J$44</definedName>
    <definedName name="_xlnm.Print_Area" localSheetId="34">'18'!$A$1:$J$44</definedName>
    <definedName name="_xlnm.Print_Area" localSheetId="33">'19'!$A$1:$J$44</definedName>
    <definedName name="_xlnm.Print_Area" localSheetId="50">'2'!$A$1:$J$44</definedName>
    <definedName name="_xlnm.Print_Area" localSheetId="32">'20'!$A$1:$J$44</definedName>
    <definedName name="_xlnm.Print_Area" localSheetId="31">'21'!$A$1:$J$44</definedName>
    <definedName name="_xlnm.Print_Area" localSheetId="30">'22'!$A$1:$J$44</definedName>
    <definedName name="_xlnm.Print_Area" localSheetId="29">'23'!$A$1:$J$44</definedName>
    <definedName name="_xlnm.Print_Area" localSheetId="28">'24'!$A$1:$J$44</definedName>
    <definedName name="_xlnm.Print_Area" localSheetId="27">'25'!$A$1:$J$44</definedName>
    <definedName name="_xlnm.Print_Area" localSheetId="26">'26'!$A$1:$J$44</definedName>
    <definedName name="_xlnm.Print_Area" localSheetId="25">'27'!$A$1:$J$44</definedName>
    <definedName name="_xlnm.Print_Area" localSheetId="24">'28'!$A$1:$J$44</definedName>
    <definedName name="_xlnm.Print_Area" localSheetId="23">'29'!$A$1:$J$44</definedName>
    <definedName name="_xlnm.Print_Area" localSheetId="49">'3'!$A$1:$J$44</definedName>
    <definedName name="_xlnm.Print_Area" localSheetId="22">'30'!$A$1:$J$44</definedName>
    <definedName name="_xlnm.Print_Area" localSheetId="21">'31'!$A$1:$J$44</definedName>
    <definedName name="_xlnm.Print_Area" localSheetId="20">'32'!$A$1:$J$44</definedName>
    <definedName name="_xlnm.Print_Area" localSheetId="19">'33'!$A$1:$J$44</definedName>
    <definedName name="_xlnm.Print_Area" localSheetId="18">'34'!$A$1:$J$44</definedName>
    <definedName name="_xlnm.Print_Area" localSheetId="17">'35'!$A$1:$J$44</definedName>
    <definedName name="_xlnm.Print_Area" localSheetId="16">'36'!$A$1:$J$44</definedName>
    <definedName name="_xlnm.Print_Area" localSheetId="15">'37'!$A$1:$J$44</definedName>
    <definedName name="_xlnm.Print_Area" localSheetId="14">'38'!$A$1:$J$44</definedName>
    <definedName name="_xlnm.Print_Area" localSheetId="13">'39'!$A$1:$J$44</definedName>
    <definedName name="_xlnm.Print_Area" localSheetId="48">'4'!$A$1:$J$44</definedName>
    <definedName name="_xlnm.Print_Area" localSheetId="12">'40'!$A$1:$J$44</definedName>
    <definedName name="_xlnm.Print_Area" localSheetId="11">'41'!$A$1:$J$44</definedName>
    <definedName name="_xlnm.Print_Area" localSheetId="10">'42'!$A$1:$J$44</definedName>
    <definedName name="_xlnm.Print_Area" localSheetId="9">'43'!$A$1:$J$44</definedName>
    <definedName name="_xlnm.Print_Area" localSheetId="8">'44'!$A$1:$J$44</definedName>
    <definedName name="_xlnm.Print_Area" localSheetId="7">'45'!$A$1:$J$44</definedName>
    <definedName name="_xlnm.Print_Area" localSheetId="6">'46'!$A$1:$J$44</definedName>
    <definedName name="_xlnm.Print_Area" localSheetId="5">'47'!$A$1:$J$44</definedName>
    <definedName name="_xlnm.Print_Area" localSheetId="4">'48'!$A$1:$J$44</definedName>
    <definedName name="_xlnm.Print_Area" localSheetId="3">'49'!$A$1:$J$44</definedName>
    <definedName name="_xlnm.Print_Area" localSheetId="47">'5'!$A$1:$J$44</definedName>
    <definedName name="_xlnm.Print_Area" localSheetId="52">'517'!$A$1:$J$44</definedName>
    <definedName name="_xlnm.Print_Area" localSheetId="46">'6'!$A$1:$J$44</definedName>
    <definedName name="_xlnm.Print_Area" localSheetId="45">'7'!$A$1:$J$44</definedName>
    <definedName name="_xlnm.Print_Area" localSheetId="44">'8'!$A$1:$J$44</definedName>
    <definedName name="_xlnm.Print_Area" localSheetId="43">'9'!$A$1:$J$44</definedName>
    <definedName name="_xlnm.Print_Area" localSheetId="1">AUTO!#REF!</definedName>
    <definedName name="_xlnm.Print_Area" localSheetId="0">'AUTO (2)'!#REF!</definedName>
    <definedName name="_xlnm.Print_Area" localSheetId="2">List!$A$1:$AW$53</definedName>
    <definedName name="_xlnm.Print_Area" localSheetId="54">'양식(30)'!$A$1:$J$44</definedName>
    <definedName name="_xlnm.Print_Area" localSheetId="53">'양식(40)'!$A$1:$J$44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83" l="1"/>
  <c r="G2" i="283"/>
  <c r="G3" i="283"/>
  <c r="D50" i="122"/>
  <c r="G2" i="285"/>
  <c r="B3" i="286"/>
  <c r="G3" i="286"/>
  <c r="G2" i="286"/>
  <c r="F25" i="286"/>
  <c r="B25" i="286"/>
  <c r="F24" i="286"/>
  <c r="B24" i="286"/>
  <c r="F23" i="286"/>
  <c r="B23" i="286"/>
  <c r="F22" i="286"/>
  <c r="B22" i="286"/>
  <c r="H21" i="286"/>
  <c r="F21" i="286"/>
  <c r="B21" i="286"/>
  <c r="M20" i="286"/>
  <c r="M21" i="286" s="1"/>
  <c r="F20" i="286"/>
  <c r="B20" i="286"/>
  <c r="F19" i="286"/>
  <c r="B19" i="286"/>
  <c r="F18" i="286"/>
  <c r="B18" i="286"/>
  <c r="F17" i="286"/>
  <c r="B17" i="286"/>
  <c r="F16" i="286"/>
  <c r="B16" i="286"/>
  <c r="S15" i="286"/>
  <c r="F15" i="286"/>
  <c r="B15" i="286"/>
  <c r="S14" i="286"/>
  <c r="K14" i="286"/>
  <c r="H28" i="286" s="1"/>
  <c r="F14" i="286"/>
  <c r="T14" i="286" s="1"/>
  <c r="B14" i="286"/>
  <c r="S13" i="286"/>
  <c r="F13" i="286"/>
  <c r="T13" i="286" s="1"/>
  <c r="B13" i="286"/>
  <c r="S12" i="286"/>
  <c r="F12" i="286"/>
  <c r="B12" i="286"/>
  <c r="S11" i="286"/>
  <c r="F11" i="286"/>
  <c r="T11" i="286" s="1"/>
  <c r="B11" i="286"/>
  <c r="S10" i="286"/>
  <c r="M10" i="286"/>
  <c r="L13" i="286" s="1"/>
  <c r="M13" i="286" s="1"/>
  <c r="F10" i="286"/>
  <c r="G10" i="286" s="1"/>
  <c r="B10" i="286"/>
  <c r="S9" i="286"/>
  <c r="F9" i="286"/>
  <c r="T9" i="286" s="1"/>
  <c r="B9" i="286"/>
  <c r="S8" i="286"/>
  <c r="F8" i="286"/>
  <c r="B8" i="286"/>
  <c r="A8" i="286"/>
  <c r="A9" i="286" s="1"/>
  <c r="A10" i="286" s="1"/>
  <c r="A11" i="286" s="1"/>
  <c r="A12" i="286" s="1"/>
  <c r="A13" i="286" s="1"/>
  <c r="A14" i="286" s="1"/>
  <c r="A15" i="286" s="1"/>
  <c r="A16" i="286" s="1"/>
  <c r="A17" i="286" s="1"/>
  <c r="A18" i="286" s="1"/>
  <c r="A19" i="286" s="1"/>
  <c r="A20" i="286" s="1"/>
  <c r="A21" i="286" s="1"/>
  <c r="A22" i="286" s="1"/>
  <c r="A23" i="286" s="1"/>
  <c r="A24" i="286" s="1"/>
  <c r="A25" i="286" s="1"/>
  <c r="F7" i="286"/>
  <c r="G13" i="286" s="1"/>
  <c r="E4" i="286"/>
  <c r="F25" i="285"/>
  <c r="B25" i="285"/>
  <c r="F24" i="285"/>
  <c r="B24" i="285"/>
  <c r="F23" i="285"/>
  <c r="B23" i="285"/>
  <c r="F22" i="285"/>
  <c r="B22" i="285"/>
  <c r="H21" i="285"/>
  <c r="G21" i="285"/>
  <c r="F21" i="285"/>
  <c r="B21" i="285"/>
  <c r="M20" i="285"/>
  <c r="M21" i="285" s="1"/>
  <c r="F20" i="285"/>
  <c r="G20" i="285" s="1"/>
  <c r="B20" i="285"/>
  <c r="F19" i="285"/>
  <c r="B19" i="285"/>
  <c r="F18" i="285"/>
  <c r="G18" i="285" s="1"/>
  <c r="B18" i="285"/>
  <c r="F17" i="285"/>
  <c r="B17" i="285"/>
  <c r="F16" i="285"/>
  <c r="G16" i="285" s="1"/>
  <c r="B16" i="285"/>
  <c r="S15" i="285"/>
  <c r="F15" i="285"/>
  <c r="T15" i="285" s="1"/>
  <c r="B15" i="285"/>
  <c r="S14" i="285"/>
  <c r="K14" i="285"/>
  <c r="H23" i="285" s="1"/>
  <c r="H34" i="285" s="1"/>
  <c r="F14" i="285"/>
  <c r="G14" i="285" s="1"/>
  <c r="B14" i="285"/>
  <c r="S13" i="285"/>
  <c r="F13" i="285"/>
  <c r="T13" i="285" s="1"/>
  <c r="B13" i="285"/>
  <c r="S12" i="285"/>
  <c r="F12" i="285"/>
  <c r="B12" i="285"/>
  <c r="S11" i="285"/>
  <c r="F11" i="285"/>
  <c r="T11" i="285" s="1"/>
  <c r="B11" i="285"/>
  <c r="S10" i="285"/>
  <c r="M10" i="285"/>
  <c r="L13" i="285" s="1"/>
  <c r="M13" i="285" s="1"/>
  <c r="F10" i="285"/>
  <c r="B10" i="285"/>
  <c r="T9" i="285"/>
  <c r="S9" i="285"/>
  <c r="F9" i="285"/>
  <c r="G9" i="285" s="1"/>
  <c r="B9" i="285"/>
  <c r="S8" i="285"/>
  <c r="F8" i="285"/>
  <c r="G8" i="285" s="1"/>
  <c r="B8" i="285"/>
  <c r="A8" i="285"/>
  <c r="A9" i="285" s="1"/>
  <c r="A10" i="285" s="1"/>
  <c r="A11" i="285" s="1"/>
  <c r="A12" i="285" s="1"/>
  <c r="A13" i="285" s="1"/>
  <c r="A14" i="285" s="1"/>
  <c r="A15" i="285" s="1"/>
  <c r="A16" i="285" s="1"/>
  <c r="A17" i="285" s="1"/>
  <c r="A18" i="285" s="1"/>
  <c r="A19" i="285" s="1"/>
  <c r="A20" i="285" s="1"/>
  <c r="A21" i="285" s="1"/>
  <c r="A22" i="285" s="1"/>
  <c r="A23" i="285" s="1"/>
  <c r="A24" i="285" s="1"/>
  <c r="A25" i="285" s="1"/>
  <c r="F7" i="285"/>
  <c r="G23" i="285" s="1"/>
  <c r="E4" i="285"/>
  <c r="G3" i="285"/>
  <c r="B3" i="285"/>
  <c r="A51" i="122"/>
  <c r="A52" i="122" s="1"/>
  <c r="A50" i="122"/>
  <c r="F50" i="122"/>
  <c r="F25" i="283"/>
  <c r="B25" i="283"/>
  <c r="F25" i="284"/>
  <c r="G25" i="284" s="1"/>
  <c r="B25" i="284"/>
  <c r="G3" i="284"/>
  <c r="G2" i="284"/>
  <c r="D49" i="122"/>
  <c r="F49" i="122" s="1"/>
  <c r="F24" i="284"/>
  <c r="B24" i="284"/>
  <c r="F23" i="284"/>
  <c r="B23" i="284"/>
  <c r="F22" i="284"/>
  <c r="B22" i="284"/>
  <c r="H21" i="284"/>
  <c r="F21" i="284"/>
  <c r="B21" i="284"/>
  <c r="M20" i="284"/>
  <c r="M21" i="284" s="1"/>
  <c r="F20" i="284"/>
  <c r="B20" i="284"/>
  <c r="F19" i="284"/>
  <c r="B19" i="284"/>
  <c r="F18" i="284"/>
  <c r="B18" i="284"/>
  <c r="F17" i="284"/>
  <c r="B17" i="284"/>
  <c r="F16" i="284"/>
  <c r="B16" i="284"/>
  <c r="S15" i="284"/>
  <c r="F15" i="284"/>
  <c r="T15" i="284" s="1"/>
  <c r="B15" i="284"/>
  <c r="S14" i="284"/>
  <c r="K14" i="284"/>
  <c r="H23" i="284" s="1"/>
  <c r="H34" i="284" s="1"/>
  <c r="F14" i="284"/>
  <c r="B14" i="284"/>
  <c r="S13" i="284"/>
  <c r="F13" i="284"/>
  <c r="T13" i="284" s="1"/>
  <c r="B13" i="284"/>
  <c r="S12" i="284"/>
  <c r="F12" i="284"/>
  <c r="B12" i="284"/>
  <c r="S11" i="284"/>
  <c r="F11" i="284"/>
  <c r="T11" i="284" s="1"/>
  <c r="B11" i="284"/>
  <c r="S10" i="284"/>
  <c r="M10" i="284"/>
  <c r="L13" i="284" s="1"/>
  <c r="M13" i="284" s="1"/>
  <c r="F10" i="284"/>
  <c r="T10" i="284" s="1"/>
  <c r="B10" i="284"/>
  <c r="S9" i="284"/>
  <c r="F9" i="284"/>
  <c r="B9" i="284"/>
  <c r="S8" i="284"/>
  <c r="F8" i="284"/>
  <c r="T8" i="284" s="1"/>
  <c r="B8" i="284"/>
  <c r="A8" i="284"/>
  <c r="A9" i="284" s="1"/>
  <c r="A10" i="284" s="1"/>
  <c r="A11" i="284" s="1"/>
  <c r="A12" i="284" s="1"/>
  <c r="A13" i="284" s="1"/>
  <c r="A14" i="284" s="1"/>
  <c r="A15" i="284" s="1"/>
  <c r="A16" i="284" s="1"/>
  <c r="A17" i="284" s="1"/>
  <c r="A18" i="284" s="1"/>
  <c r="A19" i="284" s="1"/>
  <c r="A20" i="284" s="1"/>
  <c r="A21" i="284" s="1"/>
  <c r="A22" i="284" s="1"/>
  <c r="A23" i="284" s="1"/>
  <c r="A24" i="284" s="1"/>
  <c r="A25" i="284" s="1"/>
  <c r="F7" i="284"/>
  <c r="E4" i="284"/>
  <c r="F24" i="283"/>
  <c r="B24" i="283"/>
  <c r="F23" i="283"/>
  <c r="B23" i="283"/>
  <c r="F22" i="283"/>
  <c r="B22" i="283"/>
  <c r="M21" i="283"/>
  <c r="H21" i="283"/>
  <c r="F21" i="283"/>
  <c r="B21" i="283"/>
  <c r="M20" i="283"/>
  <c r="F20" i="283"/>
  <c r="B20" i="283"/>
  <c r="F19" i="283"/>
  <c r="B19" i="283"/>
  <c r="F18" i="283"/>
  <c r="B18" i="283"/>
  <c r="F17" i="283"/>
  <c r="B17" i="283"/>
  <c r="F16" i="283"/>
  <c r="B16" i="283"/>
  <c r="S15" i="283"/>
  <c r="F15" i="283"/>
  <c r="T15" i="283" s="1"/>
  <c r="B15" i="283"/>
  <c r="S14" i="283"/>
  <c r="K14" i="283"/>
  <c r="H26" i="283" s="1"/>
  <c r="F14" i="283"/>
  <c r="T14" i="283" s="1"/>
  <c r="B14" i="283"/>
  <c r="S13" i="283"/>
  <c r="F13" i="283"/>
  <c r="T13" i="283" s="1"/>
  <c r="B13" i="283"/>
  <c r="S12" i="283"/>
  <c r="F12" i="283"/>
  <c r="T12" i="283" s="1"/>
  <c r="B12" i="283"/>
  <c r="S11" i="283"/>
  <c r="F11" i="283"/>
  <c r="T11" i="283" s="1"/>
  <c r="B11" i="283"/>
  <c r="S10" i="283"/>
  <c r="M10" i="283"/>
  <c r="L13" i="283" s="1"/>
  <c r="M13" i="283" s="1"/>
  <c r="F10" i="283"/>
  <c r="B10" i="283"/>
  <c r="S9" i="283"/>
  <c r="F9" i="283"/>
  <c r="T9" i="283" s="1"/>
  <c r="B9" i="283"/>
  <c r="S8" i="283"/>
  <c r="F8" i="283"/>
  <c r="T8" i="283" s="1"/>
  <c r="B8" i="283"/>
  <c r="A8" i="283"/>
  <c r="A9" i="283" s="1"/>
  <c r="A10" i="283" s="1"/>
  <c r="A11" i="283" s="1"/>
  <c r="A12" i="283" s="1"/>
  <c r="A13" i="283" s="1"/>
  <c r="A14" i="283" s="1"/>
  <c r="A15" i="283" s="1"/>
  <c r="A16" i="283" s="1"/>
  <c r="A17" i="283" s="1"/>
  <c r="A18" i="283" s="1"/>
  <c r="A19" i="283" s="1"/>
  <c r="A20" i="283" s="1"/>
  <c r="A21" i="283" s="1"/>
  <c r="A22" i="283" s="1"/>
  <c r="A23" i="283" s="1"/>
  <c r="A24" i="283" s="1"/>
  <c r="A25" i="283" s="1"/>
  <c r="F7" i="283"/>
  <c r="E4" i="283"/>
  <c r="F24" i="281"/>
  <c r="G24" i="281" s="1"/>
  <c r="B24" i="281"/>
  <c r="B24" i="282"/>
  <c r="G24" i="282"/>
  <c r="F24" i="282"/>
  <c r="H26" i="285" l="1"/>
  <c r="D52" i="122"/>
  <c r="G12" i="285"/>
  <c r="G15" i="285"/>
  <c r="G25" i="285"/>
  <c r="G10" i="285"/>
  <c r="G17" i="285"/>
  <c r="G19" i="285"/>
  <c r="T8" i="285"/>
  <c r="G24" i="285"/>
  <c r="D51" i="122"/>
  <c r="F51" i="122" s="1"/>
  <c r="K15" i="286"/>
  <c r="H23" i="286"/>
  <c r="H34" i="286" s="1"/>
  <c r="G17" i="286"/>
  <c r="G19" i="286"/>
  <c r="G25" i="286"/>
  <c r="G12" i="286"/>
  <c r="G14" i="286"/>
  <c r="G15" i="286"/>
  <c r="G16" i="286"/>
  <c r="G21" i="286"/>
  <c r="G18" i="286"/>
  <c r="G20" i="286"/>
  <c r="T12" i="286"/>
  <c r="G11" i="286"/>
  <c r="G23" i="286"/>
  <c r="G24" i="286"/>
  <c r="G8" i="286"/>
  <c r="G22" i="286"/>
  <c r="T14" i="285"/>
  <c r="T15" i="286"/>
  <c r="T10" i="285"/>
  <c r="G11" i="285"/>
  <c r="T12" i="285"/>
  <c r="G13" i="285"/>
  <c r="K15" i="285"/>
  <c r="H28" i="285"/>
  <c r="T8" i="286"/>
  <c r="G9" i="286"/>
  <c r="H26" i="286"/>
  <c r="G22" i="285"/>
  <c r="T10" i="286"/>
  <c r="G13" i="283"/>
  <c r="G17" i="283"/>
  <c r="G19" i="283"/>
  <c r="G10" i="283"/>
  <c r="G16" i="283"/>
  <c r="G18" i="283"/>
  <c r="G20" i="283"/>
  <c r="G14" i="283"/>
  <c r="G23" i="283"/>
  <c r="G12" i="283"/>
  <c r="G22" i="283"/>
  <c r="G24" i="283"/>
  <c r="G25" i="283"/>
  <c r="F52" i="122"/>
  <c r="H28" i="283"/>
  <c r="K15" i="283"/>
  <c r="G21" i="283"/>
  <c r="G11" i="283"/>
  <c r="K15" i="284"/>
  <c r="G12" i="284"/>
  <c r="G14" i="284"/>
  <c r="G21" i="284"/>
  <c r="G8" i="284"/>
  <c r="G9" i="284"/>
  <c r="T12" i="284"/>
  <c r="T9" i="284"/>
  <c r="G17" i="284"/>
  <c r="G19" i="284"/>
  <c r="G23" i="284"/>
  <c r="G15" i="284"/>
  <c r="G16" i="284"/>
  <c r="G18" i="284"/>
  <c r="G20" i="284"/>
  <c r="G24" i="284"/>
  <c r="T10" i="283"/>
  <c r="H26" i="284"/>
  <c r="G8" i="283"/>
  <c r="G11" i="284"/>
  <c r="H23" i="283"/>
  <c r="H34" i="283" s="1"/>
  <c r="G10" i="284"/>
  <c r="G22" i="284"/>
  <c r="H28" i="284"/>
  <c r="T14" i="284"/>
  <c r="G13" i="284"/>
  <c r="G9" i="283"/>
  <c r="G15" i="283"/>
  <c r="C24" i="282"/>
  <c r="G3" i="281"/>
  <c r="G2" i="281"/>
  <c r="G3" i="282"/>
  <c r="G2" i="282"/>
  <c r="F23" i="282"/>
  <c r="B23" i="282"/>
  <c r="F22" i="282"/>
  <c r="B22" i="282"/>
  <c r="H21" i="282"/>
  <c r="F21" i="282"/>
  <c r="B21" i="282"/>
  <c r="M20" i="282"/>
  <c r="M21" i="282" s="1"/>
  <c r="F20" i="282"/>
  <c r="B20" i="282"/>
  <c r="F19" i="282"/>
  <c r="B19" i="282"/>
  <c r="F18" i="282"/>
  <c r="B18" i="282"/>
  <c r="F17" i="282"/>
  <c r="B17" i="282"/>
  <c r="F16" i="282"/>
  <c r="B16" i="282"/>
  <c r="S15" i="282"/>
  <c r="F15" i="282"/>
  <c r="B15" i="282"/>
  <c r="S14" i="282"/>
  <c r="K14" i="282"/>
  <c r="H28" i="282" s="1"/>
  <c r="F14" i="282"/>
  <c r="T14" i="282" s="1"/>
  <c r="B14" i="282"/>
  <c r="S13" i="282"/>
  <c r="F13" i="282"/>
  <c r="T13" i="282" s="1"/>
  <c r="B13" i="282"/>
  <c r="S12" i="282"/>
  <c r="F12" i="282"/>
  <c r="T12" i="282" s="1"/>
  <c r="B12" i="282"/>
  <c r="S11" i="282"/>
  <c r="F11" i="282"/>
  <c r="B11" i="282"/>
  <c r="S10" i="282"/>
  <c r="M10" i="282"/>
  <c r="L13" i="282" s="1"/>
  <c r="M13" i="282" s="1"/>
  <c r="F10" i="282"/>
  <c r="B10" i="282"/>
  <c r="S9" i="282"/>
  <c r="F9" i="282"/>
  <c r="T9" i="282" s="1"/>
  <c r="B9" i="282"/>
  <c r="S8" i="282"/>
  <c r="F8" i="282"/>
  <c r="B8" i="282"/>
  <c r="A8" i="282"/>
  <c r="A9" i="282" s="1"/>
  <c r="A10" i="282" s="1"/>
  <c r="A11" i="282" s="1"/>
  <c r="A12" i="282" s="1"/>
  <c r="A13" i="282" s="1"/>
  <c r="A14" i="282" s="1"/>
  <c r="A15" i="282" s="1"/>
  <c r="A16" i="282" s="1"/>
  <c r="A17" i="282" s="1"/>
  <c r="A18" i="282" s="1"/>
  <c r="A19" i="282" s="1"/>
  <c r="A20" i="282" s="1"/>
  <c r="A21" i="282" s="1"/>
  <c r="A22" i="282" s="1"/>
  <c r="A23" i="282" s="1"/>
  <c r="A24" i="282" s="1"/>
  <c r="F7" i="282"/>
  <c r="E4" i="282"/>
  <c r="F23" i="281"/>
  <c r="B23" i="281"/>
  <c r="F22" i="281"/>
  <c r="B22" i="281"/>
  <c r="H21" i="281"/>
  <c r="F21" i="281"/>
  <c r="B21" i="281"/>
  <c r="M20" i="281"/>
  <c r="M21" i="281" s="1"/>
  <c r="F20" i="281"/>
  <c r="B20" i="281"/>
  <c r="F19" i="281"/>
  <c r="B19" i="281"/>
  <c r="F18" i="281"/>
  <c r="B18" i="281"/>
  <c r="F17" i="281"/>
  <c r="B17" i="281"/>
  <c r="F16" i="281"/>
  <c r="B16" i="281"/>
  <c r="S15" i="281"/>
  <c r="F15" i="281"/>
  <c r="T15" i="281" s="1"/>
  <c r="B15" i="281"/>
  <c r="S14" i="281"/>
  <c r="K14" i="281"/>
  <c r="H23" i="281" s="1"/>
  <c r="H34" i="281" s="1"/>
  <c r="F14" i="281"/>
  <c r="B14" i="281"/>
  <c r="S13" i="281"/>
  <c r="F13" i="281"/>
  <c r="T13" i="281" s="1"/>
  <c r="B13" i="281"/>
  <c r="S12" i="281"/>
  <c r="F12" i="281"/>
  <c r="B12" i="281"/>
  <c r="S11" i="281"/>
  <c r="F11" i="281"/>
  <c r="T11" i="281" s="1"/>
  <c r="B11" i="281"/>
  <c r="S10" i="281"/>
  <c r="M10" i="281"/>
  <c r="L13" i="281" s="1"/>
  <c r="M13" i="281" s="1"/>
  <c r="F10" i="281"/>
  <c r="T10" i="281" s="1"/>
  <c r="B10" i="281"/>
  <c r="S9" i="281"/>
  <c r="F9" i="281"/>
  <c r="B9" i="281"/>
  <c r="S8" i="281"/>
  <c r="F8" i="281"/>
  <c r="B8" i="281"/>
  <c r="A8" i="281"/>
  <c r="A9" i="281" s="1"/>
  <c r="A10" i="281" s="1"/>
  <c r="A11" i="281" s="1"/>
  <c r="A12" i="281" s="1"/>
  <c r="A13" i="281" s="1"/>
  <c r="A14" i="281" s="1"/>
  <c r="A15" i="281" s="1"/>
  <c r="A16" i="281" s="1"/>
  <c r="A17" i="281" s="1"/>
  <c r="A18" i="281" s="1"/>
  <c r="A19" i="281" s="1"/>
  <c r="A20" i="281" s="1"/>
  <c r="A21" i="281" s="1"/>
  <c r="A22" i="281" s="1"/>
  <c r="A23" i="281" s="1"/>
  <c r="A24" i="281" s="1"/>
  <c r="F7" i="281"/>
  <c r="E4" i="281"/>
  <c r="G3" i="279"/>
  <c r="G2" i="279"/>
  <c r="G2" i="280"/>
  <c r="G3" i="280"/>
  <c r="F23" i="280"/>
  <c r="B23" i="280"/>
  <c r="F22" i="280"/>
  <c r="B22" i="280"/>
  <c r="H21" i="280"/>
  <c r="F21" i="280"/>
  <c r="B21" i="280"/>
  <c r="M20" i="280"/>
  <c r="M21" i="280" s="1"/>
  <c r="F20" i="280"/>
  <c r="B20" i="280"/>
  <c r="F19" i="280"/>
  <c r="G19" i="280" s="1"/>
  <c r="B19" i="280"/>
  <c r="F18" i="280"/>
  <c r="B18" i="280"/>
  <c r="F17" i="280"/>
  <c r="G17" i="280" s="1"/>
  <c r="B17" i="280"/>
  <c r="F16" i="280"/>
  <c r="B16" i="280"/>
  <c r="S15" i="280"/>
  <c r="F15" i="280"/>
  <c r="B15" i="280"/>
  <c r="S14" i="280"/>
  <c r="K14" i="280"/>
  <c r="H28" i="280" s="1"/>
  <c r="F14" i="280"/>
  <c r="T14" i="280" s="1"/>
  <c r="B14" i="280"/>
  <c r="T13" i="280"/>
  <c r="S13" i="280"/>
  <c r="F13" i="280"/>
  <c r="B13" i="280"/>
  <c r="S12" i="280"/>
  <c r="F12" i="280"/>
  <c r="G12" i="280" s="1"/>
  <c r="B12" i="280"/>
  <c r="T11" i="280"/>
  <c r="S11" i="280"/>
  <c r="F11" i="280"/>
  <c r="B11" i="280"/>
  <c r="S10" i="280"/>
  <c r="M10" i="280"/>
  <c r="L13" i="280" s="1"/>
  <c r="M13" i="280" s="1"/>
  <c r="F10" i="280"/>
  <c r="B10" i="280"/>
  <c r="S9" i="280"/>
  <c r="F9" i="280"/>
  <c r="T9" i="280" s="1"/>
  <c r="B9" i="280"/>
  <c r="S8" i="280"/>
  <c r="F8" i="280"/>
  <c r="B8" i="280"/>
  <c r="A8" i="280"/>
  <c r="A9" i="280" s="1"/>
  <c r="A10" i="280" s="1"/>
  <c r="A11" i="280" s="1"/>
  <c r="A12" i="280" s="1"/>
  <c r="A13" i="280" s="1"/>
  <c r="A14" i="280" s="1"/>
  <c r="A15" i="280" s="1"/>
  <c r="A16" i="280" s="1"/>
  <c r="A17" i="280" s="1"/>
  <c r="A18" i="280" s="1"/>
  <c r="A19" i="280" s="1"/>
  <c r="A20" i="280" s="1"/>
  <c r="A21" i="280" s="1"/>
  <c r="A22" i="280" s="1"/>
  <c r="A23" i="280" s="1"/>
  <c r="F7" i="280"/>
  <c r="E4" i="280"/>
  <c r="F23" i="279"/>
  <c r="B23" i="279"/>
  <c r="F22" i="279"/>
  <c r="B22" i="279"/>
  <c r="H21" i="279"/>
  <c r="F21" i="279"/>
  <c r="B21" i="279"/>
  <c r="M20" i="279"/>
  <c r="M21" i="279" s="1"/>
  <c r="F20" i="279"/>
  <c r="G20" i="279" s="1"/>
  <c r="B20" i="279"/>
  <c r="F19" i="279"/>
  <c r="B19" i="279"/>
  <c r="F18" i="279"/>
  <c r="G18" i="279" s="1"/>
  <c r="B18" i="279"/>
  <c r="F17" i="279"/>
  <c r="B17" i="279"/>
  <c r="F16" i="279"/>
  <c r="G16" i="279" s="1"/>
  <c r="B16" i="279"/>
  <c r="S15" i="279"/>
  <c r="F15" i="279"/>
  <c r="T15" i="279" s="1"/>
  <c r="B15" i="279"/>
  <c r="S14" i="279"/>
  <c r="K14" i="279"/>
  <c r="H23" i="279" s="1"/>
  <c r="H34" i="279" s="1"/>
  <c r="F14" i="279"/>
  <c r="B14" i="279"/>
  <c r="S13" i="279"/>
  <c r="F13" i="279"/>
  <c r="T13" i="279" s="1"/>
  <c r="B13" i="279"/>
  <c r="S12" i="279"/>
  <c r="F12" i="279"/>
  <c r="B12" i="279"/>
  <c r="S11" i="279"/>
  <c r="F11" i="279"/>
  <c r="T11" i="279" s="1"/>
  <c r="B11" i="279"/>
  <c r="S10" i="279"/>
  <c r="M10" i="279"/>
  <c r="L13" i="279" s="1"/>
  <c r="M13" i="279" s="1"/>
  <c r="F10" i="279"/>
  <c r="T10" i="279" s="1"/>
  <c r="B10" i="279"/>
  <c r="S9" i="279"/>
  <c r="F9" i="279"/>
  <c r="B9" i="279"/>
  <c r="S8" i="279"/>
  <c r="F8" i="279"/>
  <c r="T8" i="279" s="1"/>
  <c r="B8" i="279"/>
  <c r="A8" i="279"/>
  <c r="A9" i="279" s="1"/>
  <c r="A10" i="279" s="1"/>
  <c r="A11" i="279" s="1"/>
  <c r="A12" i="279" s="1"/>
  <c r="A13" i="279" s="1"/>
  <c r="A14" i="279" s="1"/>
  <c r="A15" i="279" s="1"/>
  <c r="A16" i="279" s="1"/>
  <c r="A17" i="279" s="1"/>
  <c r="A18" i="279" s="1"/>
  <c r="A19" i="279" s="1"/>
  <c r="A20" i="279" s="1"/>
  <c r="A21" i="279" s="1"/>
  <c r="A22" i="279" s="1"/>
  <c r="A23" i="279" s="1"/>
  <c r="F7" i="279"/>
  <c r="E4" i="279"/>
  <c r="G3" i="277"/>
  <c r="G2" i="277"/>
  <c r="G2" i="278"/>
  <c r="G3" i="278"/>
  <c r="D43" i="122"/>
  <c r="F43" i="122" s="1"/>
  <c r="F23" i="278"/>
  <c r="B23" i="278"/>
  <c r="F22" i="278"/>
  <c r="B22" i="278"/>
  <c r="H21" i="278"/>
  <c r="F21" i="278"/>
  <c r="B21" i="278"/>
  <c r="M20" i="278"/>
  <c r="M21" i="278" s="1"/>
  <c r="F20" i="278"/>
  <c r="B20" i="278"/>
  <c r="F19" i="278"/>
  <c r="B19" i="278"/>
  <c r="F18" i="278"/>
  <c r="B18" i="278"/>
  <c r="F17" i="278"/>
  <c r="B17" i="278"/>
  <c r="F16" i="278"/>
  <c r="B16" i="278"/>
  <c r="S15" i="278"/>
  <c r="F15" i="278"/>
  <c r="B15" i="278"/>
  <c r="S14" i="278"/>
  <c r="K14" i="278"/>
  <c r="H28" i="278" s="1"/>
  <c r="F14" i="278"/>
  <c r="T14" i="278" s="1"/>
  <c r="B14" i="278"/>
  <c r="S13" i="278"/>
  <c r="F13" i="278"/>
  <c r="T13" i="278" s="1"/>
  <c r="B13" i="278"/>
  <c r="S12" i="278"/>
  <c r="F12" i="278"/>
  <c r="T12" i="278" s="1"/>
  <c r="B12" i="278"/>
  <c r="S11" i="278"/>
  <c r="F11" i="278"/>
  <c r="T11" i="278" s="1"/>
  <c r="B11" i="278"/>
  <c r="S10" i="278"/>
  <c r="M10" i="278"/>
  <c r="L13" i="278" s="1"/>
  <c r="M13" i="278" s="1"/>
  <c r="F10" i="278"/>
  <c r="B10" i="278"/>
  <c r="S9" i="278"/>
  <c r="F9" i="278"/>
  <c r="T9" i="278" s="1"/>
  <c r="B9" i="278"/>
  <c r="S8" i="278"/>
  <c r="F8" i="278"/>
  <c r="B8" i="278"/>
  <c r="A8" i="278"/>
  <c r="A9" i="278" s="1"/>
  <c r="A10" i="278" s="1"/>
  <c r="A11" i="278" s="1"/>
  <c r="A12" i="278" s="1"/>
  <c r="A13" i="278" s="1"/>
  <c r="A14" i="278" s="1"/>
  <c r="A15" i="278" s="1"/>
  <c r="A16" i="278" s="1"/>
  <c r="A17" i="278" s="1"/>
  <c r="A18" i="278" s="1"/>
  <c r="A19" i="278" s="1"/>
  <c r="A20" i="278" s="1"/>
  <c r="A21" i="278" s="1"/>
  <c r="A22" i="278" s="1"/>
  <c r="A23" i="278" s="1"/>
  <c r="F7" i="278"/>
  <c r="G20" i="278" s="1"/>
  <c r="E4" i="278"/>
  <c r="F23" i="277"/>
  <c r="B23" i="277"/>
  <c r="F22" i="277"/>
  <c r="B22" i="277"/>
  <c r="M21" i="277"/>
  <c r="H21" i="277"/>
  <c r="F21" i="277"/>
  <c r="B21" i="277"/>
  <c r="M20" i="277"/>
  <c r="F20" i="277"/>
  <c r="B20" i="277"/>
  <c r="F19" i="277"/>
  <c r="B19" i="277"/>
  <c r="F18" i="277"/>
  <c r="B18" i="277"/>
  <c r="F17" i="277"/>
  <c r="B17" i="277"/>
  <c r="F16" i="277"/>
  <c r="B16" i="277"/>
  <c r="S15" i="277"/>
  <c r="F15" i="277"/>
  <c r="T15" i="277" s="1"/>
  <c r="B15" i="277"/>
  <c r="S14" i="277"/>
  <c r="K14" i="277"/>
  <c r="H23" i="277" s="1"/>
  <c r="H34" i="277" s="1"/>
  <c r="F14" i="277"/>
  <c r="T14" i="277" s="1"/>
  <c r="B14" i="277"/>
  <c r="S13" i="277"/>
  <c r="F13" i="277"/>
  <c r="T13" i="277" s="1"/>
  <c r="B13" i="277"/>
  <c r="S12" i="277"/>
  <c r="F12" i="277"/>
  <c r="B12" i="277"/>
  <c r="S11" i="277"/>
  <c r="F11" i="277"/>
  <c r="T11" i="277" s="1"/>
  <c r="B11" i="277"/>
  <c r="S10" i="277"/>
  <c r="M10" i="277"/>
  <c r="L13" i="277" s="1"/>
  <c r="M13" i="277" s="1"/>
  <c r="F10" i="277"/>
  <c r="T10" i="277" s="1"/>
  <c r="B10" i="277"/>
  <c r="S9" i="277"/>
  <c r="F9" i="277"/>
  <c r="T9" i="277" s="1"/>
  <c r="B9" i="277"/>
  <c r="S8" i="277"/>
  <c r="F8" i="277"/>
  <c r="T8" i="277" s="1"/>
  <c r="B8" i="277"/>
  <c r="A8" i="277"/>
  <c r="A9" i="277" s="1"/>
  <c r="A10" i="277" s="1"/>
  <c r="A11" i="277" s="1"/>
  <c r="A12" i="277" s="1"/>
  <c r="A13" i="277" s="1"/>
  <c r="A14" i="277" s="1"/>
  <c r="A15" i="277" s="1"/>
  <c r="A16" i="277" s="1"/>
  <c r="A17" i="277" s="1"/>
  <c r="A18" i="277" s="1"/>
  <c r="A19" i="277" s="1"/>
  <c r="A20" i="277" s="1"/>
  <c r="A21" i="277" s="1"/>
  <c r="A22" i="277" s="1"/>
  <c r="A23" i="277" s="1"/>
  <c r="F7" i="277"/>
  <c r="E4" i="277"/>
  <c r="D41" i="122"/>
  <c r="F41" i="122" s="1"/>
  <c r="D37" i="122"/>
  <c r="F37" i="122" s="1"/>
  <c r="G3" i="275"/>
  <c r="G3" i="270"/>
  <c r="G2" i="275"/>
  <c r="G3" i="274"/>
  <c r="G2" i="274"/>
  <c r="G2" i="276"/>
  <c r="F23" i="276"/>
  <c r="B23" i="276"/>
  <c r="F22" i="276"/>
  <c r="B22" i="276"/>
  <c r="H21" i="276"/>
  <c r="F21" i="276"/>
  <c r="B21" i="276"/>
  <c r="M20" i="276"/>
  <c r="M21" i="276" s="1"/>
  <c r="F20" i="276"/>
  <c r="B20" i="276"/>
  <c r="F19" i="276"/>
  <c r="B19" i="276"/>
  <c r="F18" i="276"/>
  <c r="B18" i="276"/>
  <c r="F17" i="276"/>
  <c r="B17" i="276"/>
  <c r="F16" i="276"/>
  <c r="B16" i="276"/>
  <c r="S15" i="276"/>
  <c r="F15" i="276"/>
  <c r="T15" i="276" s="1"/>
  <c r="B15" i="276"/>
  <c r="S14" i="276"/>
  <c r="K14" i="276"/>
  <c r="H28" i="276" s="1"/>
  <c r="F14" i="276"/>
  <c r="B14" i="276"/>
  <c r="S13" i="276"/>
  <c r="F13" i="276"/>
  <c r="T13" i="276" s="1"/>
  <c r="B13" i="276"/>
  <c r="T12" i="276"/>
  <c r="S12" i="276"/>
  <c r="F12" i="276"/>
  <c r="B12" i="276"/>
  <c r="S11" i="276"/>
  <c r="F11" i="276"/>
  <c r="B11" i="276"/>
  <c r="S10" i="276"/>
  <c r="M10" i="276"/>
  <c r="L13" i="276" s="1"/>
  <c r="M13" i="276" s="1"/>
  <c r="F10" i="276"/>
  <c r="B10" i="276"/>
  <c r="S9" i="276"/>
  <c r="F9" i="276"/>
  <c r="T9" i="276" s="1"/>
  <c r="B9" i="276"/>
  <c r="S8" i="276"/>
  <c r="F8" i="276"/>
  <c r="T8" i="276" s="1"/>
  <c r="B8" i="276"/>
  <c r="A8" i="276"/>
  <c r="A9" i="276" s="1"/>
  <c r="A10" i="276" s="1"/>
  <c r="A11" i="276" s="1"/>
  <c r="A12" i="276" s="1"/>
  <c r="A13" i="276" s="1"/>
  <c r="A14" i="276" s="1"/>
  <c r="A15" i="276" s="1"/>
  <c r="A16" i="276" s="1"/>
  <c r="A17" i="276" s="1"/>
  <c r="A18" i="276" s="1"/>
  <c r="A19" i="276" s="1"/>
  <c r="A20" i="276" s="1"/>
  <c r="A21" i="276" s="1"/>
  <c r="A22" i="276" s="1"/>
  <c r="A23" i="276" s="1"/>
  <c r="F7" i="276"/>
  <c r="E4" i="276"/>
  <c r="G3" i="276"/>
  <c r="F23" i="275"/>
  <c r="B23" i="275"/>
  <c r="F22" i="275"/>
  <c r="B22" i="275"/>
  <c r="H21" i="275"/>
  <c r="F21" i="275"/>
  <c r="G21" i="275" s="1"/>
  <c r="B21" i="275"/>
  <c r="M20" i="275"/>
  <c r="M21" i="275" s="1"/>
  <c r="F20" i="275"/>
  <c r="G20" i="275" s="1"/>
  <c r="B20" i="275"/>
  <c r="F19" i="275"/>
  <c r="B19" i="275"/>
  <c r="F18" i="275"/>
  <c r="B18" i="275"/>
  <c r="G17" i="275"/>
  <c r="F17" i="275"/>
  <c r="B17" i="275"/>
  <c r="F16" i="275"/>
  <c r="G16" i="275" s="1"/>
  <c r="B16" i="275"/>
  <c r="S15" i="275"/>
  <c r="F15" i="275"/>
  <c r="T15" i="275" s="1"/>
  <c r="B15" i="275"/>
  <c r="S14" i="275"/>
  <c r="K14" i="275"/>
  <c r="H28" i="275" s="1"/>
  <c r="G14" i="275"/>
  <c r="F14" i="275"/>
  <c r="T14" i="275" s="1"/>
  <c r="B14" i="275"/>
  <c r="S13" i="275"/>
  <c r="F13" i="275"/>
  <c r="T13" i="275" s="1"/>
  <c r="B13" i="275"/>
  <c r="T12" i="275"/>
  <c r="S12" i="275"/>
  <c r="F12" i="275"/>
  <c r="B12" i="275"/>
  <c r="S11" i="275"/>
  <c r="F11" i="275"/>
  <c r="T11" i="275" s="1"/>
  <c r="B11" i="275"/>
  <c r="S10" i="275"/>
  <c r="M10" i="275"/>
  <c r="L13" i="275" s="1"/>
  <c r="M13" i="275" s="1"/>
  <c r="F10" i="275"/>
  <c r="G10" i="275" s="1"/>
  <c r="B10" i="275"/>
  <c r="S9" i="275"/>
  <c r="F9" i="275"/>
  <c r="T9" i="275" s="1"/>
  <c r="B9" i="275"/>
  <c r="S8" i="275"/>
  <c r="F8" i="275"/>
  <c r="B8" i="275"/>
  <c r="A8" i="275"/>
  <c r="A9" i="275" s="1"/>
  <c r="A10" i="275" s="1"/>
  <c r="A11" i="275" s="1"/>
  <c r="A12" i="275" s="1"/>
  <c r="A13" i="275" s="1"/>
  <c r="A14" i="275" s="1"/>
  <c r="A15" i="275" s="1"/>
  <c r="A16" i="275" s="1"/>
  <c r="A17" i="275" s="1"/>
  <c r="A18" i="275" s="1"/>
  <c r="A19" i="275" s="1"/>
  <c r="A20" i="275" s="1"/>
  <c r="A21" i="275" s="1"/>
  <c r="A22" i="275" s="1"/>
  <c r="A23" i="275" s="1"/>
  <c r="F7" i="275"/>
  <c r="G18" i="275" s="1"/>
  <c r="E4" i="275"/>
  <c r="G2" i="270"/>
  <c r="G3" i="273"/>
  <c r="G2" i="273"/>
  <c r="D40" i="122"/>
  <c r="F40" i="122" s="1"/>
  <c r="F23" i="274"/>
  <c r="B23" i="274"/>
  <c r="F22" i="274"/>
  <c r="B22" i="274"/>
  <c r="H21" i="274"/>
  <c r="F21" i="274"/>
  <c r="B21" i="274"/>
  <c r="M20" i="274"/>
  <c r="M21" i="274" s="1"/>
  <c r="F20" i="274"/>
  <c r="B20" i="274"/>
  <c r="F19" i="274"/>
  <c r="B19" i="274"/>
  <c r="F18" i="274"/>
  <c r="B18" i="274"/>
  <c r="F17" i="274"/>
  <c r="B17" i="274"/>
  <c r="F16" i="274"/>
  <c r="B16" i="274"/>
  <c r="S15" i="274"/>
  <c r="F15" i="274"/>
  <c r="B15" i="274"/>
  <c r="S14" i="274"/>
  <c r="K14" i="274"/>
  <c r="H28" i="274" s="1"/>
  <c r="F14" i="274"/>
  <c r="B14" i="274"/>
  <c r="S13" i="274"/>
  <c r="F13" i="274"/>
  <c r="T13" i="274" s="1"/>
  <c r="B13" i="274"/>
  <c r="S12" i="274"/>
  <c r="F12" i="274"/>
  <c r="T12" i="274" s="1"/>
  <c r="B12" i="274"/>
  <c r="S11" i="274"/>
  <c r="F11" i="274"/>
  <c r="B11" i="274"/>
  <c r="S10" i="274"/>
  <c r="M10" i="274"/>
  <c r="L13" i="274" s="1"/>
  <c r="M13" i="274" s="1"/>
  <c r="F10" i="274"/>
  <c r="B10" i="274"/>
  <c r="S9" i="274"/>
  <c r="F9" i="274"/>
  <c r="T9" i="274" s="1"/>
  <c r="B9" i="274"/>
  <c r="S8" i="274"/>
  <c r="F8" i="274"/>
  <c r="T8" i="274" s="1"/>
  <c r="B8" i="274"/>
  <c r="A8" i="274"/>
  <c r="A9" i="274" s="1"/>
  <c r="A10" i="274" s="1"/>
  <c r="A11" i="274" s="1"/>
  <c r="A12" i="274" s="1"/>
  <c r="A13" i="274" s="1"/>
  <c r="A14" i="274" s="1"/>
  <c r="A15" i="274" s="1"/>
  <c r="A16" i="274" s="1"/>
  <c r="A17" i="274" s="1"/>
  <c r="A18" i="274" s="1"/>
  <c r="A19" i="274" s="1"/>
  <c r="A20" i="274" s="1"/>
  <c r="A21" i="274" s="1"/>
  <c r="A22" i="274" s="1"/>
  <c r="A23" i="274" s="1"/>
  <c r="F7" i="274"/>
  <c r="E4" i="274"/>
  <c r="G3" i="271"/>
  <c r="G2" i="271"/>
  <c r="F23" i="273"/>
  <c r="B23" i="273"/>
  <c r="F22" i="273"/>
  <c r="B22" i="273"/>
  <c r="H21" i="273"/>
  <c r="F21" i="273"/>
  <c r="B21" i="273"/>
  <c r="M20" i="273"/>
  <c r="M21" i="273" s="1"/>
  <c r="F20" i="273"/>
  <c r="B20" i="273"/>
  <c r="F19" i="273"/>
  <c r="B19" i="273"/>
  <c r="F18" i="273"/>
  <c r="B18" i="273"/>
  <c r="F17" i="273"/>
  <c r="B17" i="273"/>
  <c r="F16" i="273"/>
  <c r="B16" i="273"/>
  <c r="S15" i="273"/>
  <c r="F15" i="273"/>
  <c r="T15" i="273" s="1"/>
  <c r="B15" i="273"/>
  <c r="S14" i="273"/>
  <c r="K14" i="273"/>
  <c r="H28" i="273" s="1"/>
  <c r="F14" i="273"/>
  <c r="B14" i="273"/>
  <c r="S13" i="273"/>
  <c r="F13" i="273"/>
  <c r="T13" i="273" s="1"/>
  <c r="B13" i="273"/>
  <c r="S12" i="273"/>
  <c r="F12" i="273"/>
  <c r="T12" i="273" s="1"/>
  <c r="B12" i="273"/>
  <c r="S11" i="273"/>
  <c r="F11" i="273"/>
  <c r="B11" i="273"/>
  <c r="S10" i="273"/>
  <c r="M10" i="273"/>
  <c r="L13" i="273" s="1"/>
  <c r="M13" i="273" s="1"/>
  <c r="F10" i="273"/>
  <c r="B10" i="273"/>
  <c r="S9" i="273"/>
  <c r="F9" i="273"/>
  <c r="T9" i="273" s="1"/>
  <c r="B9" i="273"/>
  <c r="S8" i="273"/>
  <c r="F8" i="273"/>
  <c r="B8" i="273"/>
  <c r="A8" i="273"/>
  <c r="A9" i="273" s="1"/>
  <c r="A10" i="273" s="1"/>
  <c r="A11" i="273" s="1"/>
  <c r="A12" i="273" s="1"/>
  <c r="A13" i="273" s="1"/>
  <c r="A14" i="273" s="1"/>
  <c r="A15" i="273" s="1"/>
  <c r="A16" i="273" s="1"/>
  <c r="A17" i="273" s="1"/>
  <c r="A18" i="273" s="1"/>
  <c r="A19" i="273" s="1"/>
  <c r="A20" i="273" s="1"/>
  <c r="A21" i="273" s="1"/>
  <c r="A22" i="273" s="1"/>
  <c r="A23" i="273" s="1"/>
  <c r="F7" i="273"/>
  <c r="E4" i="273"/>
  <c r="G3" i="272"/>
  <c r="G2" i="272"/>
  <c r="F23" i="272"/>
  <c r="B23" i="272"/>
  <c r="F22" i="272"/>
  <c r="B22" i="272"/>
  <c r="H21" i="272"/>
  <c r="F21" i="272"/>
  <c r="B21" i="272"/>
  <c r="M20" i="272"/>
  <c r="M21" i="272" s="1"/>
  <c r="F20" i="272"/>
  <c r="B20" i="272"/>
  <c r="F19" i="272"/>
  <c r="B19" i="272"/>
  <c r="F18" i="272"/>
  <c r="G18" i="272" s="1"/>
  <c r="B18" i="272"/>
  <c r="F17" i="272"/>
  <c r="B17" i="272"/>
  <c r="F16" i="272"/>
  <c r="B16" i="272"/>
  <c r="S15" i="272"/>
  <c r="F15" i="272"/>
  <c r="B15" i="272"/>
  <c r="S14" i="272"/>
  <c r="K14" i="272"/>
  <c r="H28" i="272" s="1"/>
  <c r="F14" i="272"/>
  <c r="T14" i="272" s="1"/>
  <c r="B14" i="272"/>
  <c r="S13" i="272"/>
  <c r="F13" i="272"/>
  <c r="T13" i="272" s="1"/>
  <c r="B13" i="272"/>
  <c r="S12" i="272"/>
  <c r="F12" i="272"/>
  <c r="T12" i="272" s="1"/>
  <c r="B12" i="272"/>
  <c r="S11" i="272"/>
  <c r="F11" i="272"/>
  <c r="T11" i="272" s="1"/>
  <c r="B11" i="272"/>
  <c r="S10" i="272"/>
  <c r="M10" i="272"/>
  <c r="L13" i="272" s="1"/>
  <c r="M13" i="272" s="1"/>
  <c r="F10" i="272"/>
  <c r="B10" i="272"/>
  <c r="S9" i="272"/>
  <c r="F9" i="272"/>
  <c r="T9" i="272" s="1"/>
  <c r="B9" i="272"/>
  <c r="S8" i="272"/>
  <c r="F8" i="272"/>
  <c r="B8" i="272"/>
  <c r="A8" i="272"/>
  <c r="A9" i="272" s="1"/>
  <c r="A10" i="272" s="1"/>
  <c r="A11" i="272" s="1"/>
  <c r="A12" i="272" s="1"/>
  <c r="A13" i="272" s="1"/>
  <c r="A14" i="272" s="1"/>
  <c r="A15" i="272" s="1"/>
  <c r="A16" i="272" s="1"/>
  <c r="A17" i="272" s="1"/>
  <c r="A18" i="272" s="1"/>
  <c r="A19" i="272" s="1"/>
  <c r="A20" i="272" s="1"/>
  <c r="A21" i="272" s="1"/>
  <c r="A22" i="272" s="1"/>
  <c r="A23" i="272" s="1"/>
  <c r="F7" i="272"/>
  <c r="G17" i="272" s="1"/>
  <c r="E4" i="272"/>
  <c r="F23" i="271"/>
  <c r="B23" i="271"/>
  <c r="F22" i="271"/>
  <c r="B22" i="271"/>
  <c r="H21" i="271"/>
  <c r="F21" i="271"/>
  <c r="G21" i="271" s="1"/>
  <c r="B21" i="271"/>
  <c r="M20" i="271"/>
  <c r="M21" i="271" s="1"/>
  <c r="F20" i="271"/>
  <c r="B20" i="271"/>
  <c r="F19" i="271"/>
  <c r="B19" i="271"/>
  <c r="F18" i="271"/>
  <c r="B18" i="271"/>
  <c r="F17" i="271"/>
  <c r="B17" i="271"/>
  <c r="F16" i="271"/>
  <c r="B16" i="271"/>
  <c r="S15" i="271"/>
  <c r="F15" i="271"/>
  <c r="T15" i="271" s="1"/>
  <c r="B15" i="271"/>
  <c r="S14" i="271"/>
  <c r="K14" i="271"/>
  <c r="H23" i="271" s="1"/>
  <c r="H34" i="271" s="1"/>
  <c r="F14" i="271"/>
  <c r="T14" i="271" s="1"/>
  <c r="B14" i="271"/>
  <c r="S13" i="271"/>
  <c r="F13" i="271"/>
  <c r="T13" i="271" s="1"/>
  <c r="B13" i="271"/>
  <c r="S12" i="271"/>
  <c r="F12" i="271"/>
  <c r="B12" i="271"/>
  <c r="S11" i="271"/>
  <c r="F11" i="271"/>
  <c r="T11" i="271" s="1"/>
  <c r="B11" i="271"/>
  <c r="S10" i="271"/>
  <c r="M10" i="271"/>
  <c r="L13" i="271" s="1"/>
  <c r="M13" i="271" s="1"/>
  <c r="F10" i="271"/>
  <c r="T10" i="271" s="1"/>
  <c r="B10" i="271"/>
  <c r="S9" i="271"/>
  <c r="F9" i="271"/>
  <c r="T9" i="271" s="1"/>
  <c r="B9" i="271"/>
  <c r="S8" i="271"/>
  <c r="F8" i="271"/>
  <c r="T8" i="271" s="1"/>
  <c r="B8" i="271"/>
  <c r="A8" i="271"/>
  <c r="A9" i="271" s="1"/>
  <c r="A10" i="271" s="1"/>
  <c r="A11" i="271" s="1"/>
  <c r="A12" i="271" s="1"/>
  <c r="A13" i="271" s="1"/>
  <c r="A14" i="271" s="1"/>
  <c r="A15" i="271" s="1"/>
  <c r="A16" i="271" s="1"/>
  <c r="A17" i="271" s="1"/>
  <c r="A18" i="271" s="1"/>
  <c r="A19" i="271" s="1"/>
  <c r="A20" i="271" s="1"/>
  <c r="A21" i="271" s="1"/>
  <c r="A22" i="271" s="1"/>
  <c r="A23" i="271" s="1"/>
  <c r="F7" i="271"/>
  <c r="E4" i="271"/>
  <c r="D36" i="122"/>
  <c r="F36" i="122" s="1"/>
  <c r="D35" i="122"/>
  <c r="F35" i="122" s="1"/>
  <c r="G2" i="268"/>
  <c r="G3" i="268"/>
  <c r="F23" i="270"/>
  <c r="B23" i="270"/>
  <c r="F22" i="270"/>
  <c r="B22" i="270"/>
  <c r="H21" i="270"/>
  <c r="F21" i="270"/>
  <c r="B21" i="270"/>
  <c r="M20" i="270"/>
  <c r="M21" i="270" s="1"/>
  <c r="F20" i="270"/>
  <c r="B20" i="270"/>
  <c r="F19" i="270"/>
  <c r="B19" i="270"/>
  <c r="F18" i="270"/>
  <c r="B18" i="270"/>
  <c r="F17" i="270"/>
  <c r="B17" i="270"/>
  <c r="F16" i="270"/>
  <c r="B16" i="270"/>
  <c r="S15" i="270"/>
  <c r="F15" i="270"/>
  <c r="T15" i="270" s="1"/>
  <c r="B15" i="270"/>
  <c r="S14" i="270"/>
  <c r="K14" i="270"/>
  <c r="H28" i="270" s="1"/>
  <c r="F14" i="270"/>
  <c r="T14" i="270" s="1"/>
  <c r="B14" i="270"/>
  <c r="S13" i="270"/>
  <c r="F13" i="270"/>
  <c r="B13" i="270"/>
  <c r="S12" i="270"/>
  <c r="F12" i="270"/>
  <c r="T12" i="270" s="1"/>
  <c r="B12" i="270"/>
  <c r="S11" i="270"/>
  <c r="F11" i="270"/>
  <c r="T11" i="270" s="1"/>
  <c r="B11" i="270"/>
  <c r="S10" i="270"/>
  <c r="M10" i="270"/>
  <c r="L13" i="270" s="1"/>
  <c r="M13" i="270" s="1"/>
  <c r="F10" i="270"/>
  <c r="T10" i="270" s="1"/>
  <c r="B10" i="270"/>
  <c r="S9" i="270"/>
  <c r="F9" i="270"/>
  <c r="T9" i="270" s="1"/>
  <c r="B9" i="270"/>
  <c r="S8" i="270"/>
  <c r="F8" i="270"/>
  <c r="B8" i="270"/>
  <c r="A8" i="270"/>
  <c r="A9" i="270" s="1"/>
  <c r="A10" i="270" s="1"/>
  <c r="A11" i="270" s="1"/>
  <c r="A12" i="270" s="1"/>
  <c r="A13" i="270" s="1"/>
  <c r="A14" i="270" s="1"/>
  <c r="A15" i="270" s="1"/>
  <c r="A16" i="270" s="1"/>
  <c r="A17" i="270" s="1"/>
  <c r="A18" i="270" s="1"/>
  <c r="A19" i="270" s="1"/>
  <c r="A20" i="270" s="1"/>
  <c r="A21" i="270" s="1"/>
  <c r="A22" i="270" s="1"/>
  <c r="A23" i="270" s="1"/>
  <c r="F7" i="270"/>
  <c r="G12" i="270" s="1"/>
  <c r="E4" i="270"/>
  <c r="M10" i="265"/>
  <c r="H21" i="265"/>
  <c r="G3" i="269"/>
  <c r="G2" i="269"/>
  <c r="F23" i="269"/>
  <c r="B23" i="269"/>
  <c r="F22" i="269"/>
  <c r="B22" i="269"/>
  <c r="H21" i="269"/>
  <c r="F21" i="269"/>
  <c r="B21" i="269"/>
  <c r="M20" i="269"/>
  <c r="M21" i="269" s="1"/>
  <c r="F20" i="269"/>
  <c r="B20" i="269"/>
  <c r="F19" i="269"/>
  <c r="G19" i="269" s="1"/>
  <c r="B19" i="269"/>
  <c r="F18" i="269"/>
  <c r="B18" i="269"/>
  <c r="F17" i="269"/>
  <c r="B17" i="269"/>
  <c r="F16" i="269"/>
  <c r="G16" i="269" s="1"/>
  <c r="B16" i="269"/>
  <c r="S15" i="269"/>
  <c r="F15" i="269"/>
  <c r="B15" i="269"/>
  <c r="S14" i="269"/>
  <c r="K14" i="269"/>
  <c r="H28" i="269" s="1"/>
  <c r="F14" i="269"/>
  <c r="T14" i="269" s="1"/>
  <c r="B14" i="269"/>
  <c r="T13" i="269"/>
  <c r="S13" i="269"/>
  <c r="F13" i="269"/>
  <c r="B13" i="269"/>
  <c r="S12" i="269"/>
  <c r="F12" i="269"/>
  <c r="G12" i="269" s="1"/>
  <c r="B12" i="269"/>
  <c r="S11" i="269"/>
  <c r="F11" i="269"/>
  <c r="T11" i="269" s="1"/>
  <c r="B11" i="269"/>
  <c r="S10" i="269"/>
  <c r="M10" i="269"/>
  <c r="L13" i="269" s="1"/>
  <c r="M13" i="269" s="1"/>
  <c r="F10" i="269"/>
  <c r="B10" i="269"/>
  <c r="S9" i="269"/>
  <c r="F9" i="269"/>
  <c r="T9" i="269" s="1"/>
  <c r="B9" i="269"/>
  <c r="S8" i="269"/>
  <c r="F8" i="269"/>
  <c r="B8" i="269"/>
  <c r="A8" i="269"/>
  <c r="A9" i="269" s="1"/>
  <c r="A10" i="269" s="1"/>
  <c r="A11" i="269" s="1"/>
  <c r="A12" i="269" s="1"/>
  <c r="A13" i="269" s="1"/>
  <c r="A14" i="269" s="1"/>
  <c r="A15" i="269" s="1"/>
  <c r="A16" i="269" s="1"/>
  <c r="A17" i="269" s="1"/>
  <c r="A18" i="269" s="1"/>
  <c r="A19" i="269" s="1"/>
  <c r="A20" i="269" s="1"/>
  <c r="A21" i="269" s="1"/>
  <c r="A22" i="269" s="1"/>
  <c r="A23" i="269" s="1"/>
  <c r="F7" i="269"/>
  <c r="E4" i="269"/>
  <c r="F23" i="268"/>
  <c r="B23" i="268"/>
  <c r="F22" i="268"/>
  <c r="B22" i="268"/>
  <c r="H21" i="268"/>
  <c r="F21" i="268"/>
  <c r="G21" i="268" s="1"/>
  <c r="B21" i="268"/>
  <c r="M20" i="268"/>
  <c r="M21" i="268" s="1"/>
  <c r="F20" i="268"/>
  <c r="G20" i="268" s="1"/>
  <c r="B20" i="268"/>
  <c r="F19" i="268"/>
  <c r="B19" i="268"/>
  <c r="F18" i="268"/>
  <c r="G18" i="268" s="1"/>
  <c r="B18" i="268"/>
  <c r="F17" i="268"/>
  <c r="B17" i="268"/>
  <c r="F16" i="268"/>
  <c r="G16" i="268" s="1"/>
  <c r="B16" i="268"/>
  <c r="S15" i="268"/>
  <c r="F15" i="268"/>
  <c r="T15" i="268" s="1"/>
  <c r="B15" i="268"/>
  <c r="S14" i="268"/>
  <c r="K14" i="268"/>
  <c r="H23" i="268" s="1"/>
  <c r="H34" i="268" s="1"/>
  <c r="F14" i="268"/>
  <c r="B14" i="268"/>
  <c r="S13" i="268"/>
  <c r="F13" i="268"/>
  <c r="T13" i="268" s="1"/>
  <c r="B13" i="268"/>
  <c r="S12" i="268"/>
  <c r="F12" i="268"/>
  <c r="G12" i="268" s="1"/>
  <c r="B12" i="268"/>
  <c r="S11" i="268"/>
  <c r="F11" i="268"/>
  <c r="T11" i="268" s="1"/>
  <c r="B11" i="268"/>
  <c r="S10" i="268"/>
  <c r="M10" i="268"/>
  <c r="L13" i="268" s="1"/>
  <c r="M13" i="268" s="1"/>
  <c r="F10" i="268"/>
  <c r="T10" i="268" s="1"/>
  <c r="B10" i="268"/>
  <c r="S9" i="268"/>
  <c r="F9" i="268"/>
  <c r="G9" i="268" s="1"/>
  <c r="B9" i="268"/>
  <c r="S8" i="268"/>
  <c r="F8" i="268"/>
  <c r="G8" i="268" s="1"/>
  <c r="B8" i="268"/>
  <c r="A8" i="268"/>
  <c r="A9" i="268" s="1"/>
  <c r="A10" i="268" s="1"/>
  <c r="A11" i="268" s="1"/>
  <c r="A12" i="268" s="1"/>
  <c r="A13" i="268" s="1"/>
  <c r="A14" i="268" s="1"/>
  <c r="A15" i="268" s="1"/>
  <c r="A16" i="268" s="1"/>
  <c r="A17" i="268" s="1"/>
  <c r="A18" i="268" s="1"/>
  <c r="A19" i="268" s="1"/>
  <c r="A20" i="268" s="1"/>
  <c r="A21" i="268" s="1"/>
  <c r="A22" i="268" s="1"/>
  <c r="A23" i="268" s="1"/>
  <c r="F7" i="268"/>
  <c r="E4" i="268"/>
  <c r="K10" i="267"/>
  <c r="K17" i="267" s="1"/>
  <c r="J10" i="267"/>
  <c r="J17" i="267" s="1"/>
  <c r="I10" i="267"/>
  <c r="K5" i="267"/>
  <c r="K6" i="267" s="1"/>
  <c r="J5" i="267"/>
  <c r="J6" i="267" s="1"/>
  <c r="I5" i="267"/>
  <c r="F5" i="267" s="1"/>
  <c r="G4" i="267"/>
  <c r="G10" i="282" l="1"/>
  <c r="G12" i="281"/>
  <c r="G22" i="281"/>
  <c r="G21" i="281"/>
  <c r="G9" i="281"/>
  <c r="G16" i="281"/>
  <c r="G18" i="281"/>
  <c r="G20" i="281"/>
  <c r="G8" i="281"/>
  <c r="G14" i="281"/>
  <c r="T9" i="281"/>
  <c r="G15" i="281"/>
  <c r="G23" i="281"/>
  <c r="T8" i="281"/>
  <c r="T12" i="281"/>
  <c r="G17" i="281"/>
  <c r="G19" i="281"/>
  <c r="D47" i="122"/>
  <c r="F47" i="122" s="1"/>
  <c r="H28" i="281"/>
  <c r="K15" i="281"/>
  <c r="D48" i="122"/>
  <c r="F48" i="122" s="1"/>
  <c r="H26" i="281"/>
  <c r="G17" i="282"/>
  <c r="K15" i="282"/>
  <c r="H23" i="282"/>
  <c r="H34" i="282" s="1"/>
  <c r="H26" i="282"/>
  <c r="G21" i="282"/>
  <c r="G15" i="282"/>
  <c r="G16" i="282"/>
  <c r="G18" i="282"/>
  <c r="G20" i="282"/>
  <c r="G11" i="282"/>
  <c r="G19" i="282"/>
  <c r="G8" i="282"/>
  <c r="G12" i="282"/>
  <c r="G23" i="282"/>
  <c r="T11" i="282"/>
  <c r="T8" i="282"/>
  <c r="G22" i="282"/>
  <c r="G11" i="281"/>
  <c r="G9" i="282"/>
  <c r="G10" i="281"/>
  <c r="T10" i="282"/>
  <c r="G13" i="282"/>
  <c r="G14" i="282"/>
  <c r="T14" i="281"/>
  <c r="T15" i="282"/>
  <c r="G13" i="281"/>
  <c r="G9" i="279"/>
  <c r="G12" i="279"/>
  <c r="G21" i="279"/>
  <c r="G20" i="280"/>
  <c r="G14" i="279"/>
  <c r="T9" i="279"/>
  <c r="H26" i="279"/>
  <c r="D46" i="122"/>
  <c r="F46" i="122" s="1"/>
  <c r="G15" i="279"/>
  <c r="G23" i="279"/>
  <c r="G17" i="279"/>
  <c r="G19" i="279"/>
  <c r="D45" i="122"/>
  <c r="F45" i="122" s="1"/>
  <c r="K15" i="280"/>
  <c r="H23" i="280"/>
  <c r="H34" i="280" s="1"/>
  <c r="G10" i="280"/>
  <c r="T12" i="280"/>
  <c r="G14" i="280"/>
  <c r="G15" i="280"/>
  <c r="G21" i="280"/>
  <c r="G13" i="280"/>
  <c r="G18" i="280"/>
  <c r="G22" i="280"/>
  <c r="G11" i="280"/>
  <c r="G16" i="280"/>
  <c r="G23" i="280"/>
  <c r="G8" i="280"/>
  <c r="T14" i="279"/>
  <c r="T15" i="280"/>
  <c r="G11" i="279"/>
  <c r="T12" i="279"/>
  <c r="G13" i="279"/>
  <c r="K15" i="279"/>
  <c r="H28" i="279"/>
  <c r="T8" i="280"/>
  <c r="G9" i="280"/>
  <c r="H26" i="280"/>
  <c r="G8" i="279"/>
  <c r="G10" i="279"/>
  <c r="G22" i="279"/>
  <c r="T10" i="280"/>
  <c r="G22" i="277"/>
  <c r="D44" i="122"/>
  <c r="F44" i="122" s="1"/>
  <c r="G17" i="277"/>
  <c r="G19" i="277"/>
  <c r="G16" i="277"/>
  <c r="G18" i="277"/>
  <c r="G20" i="277"/>
  <c r="G12" i="277"/>
  <c r="K15" i="278"/>
  <c r="G21" i="278"/>
  <c r="G13" i="278"/>
  <c r="G8" i="278"/>
  <c r="G14" i="278"/>
  <c r="G15" i="278"/>
  <c r="G23" i="278"/>
  <c r="G10" i="278"/>
  <c r="G11" i="278"/>
  <c r="G22" i="278"/>
  <c r="G9" i="277"/>
  <c r="G15" i="277"/>
  <c r="G21" i="277"/>
  <c r="H26" i="277"/>
  <c r="G12" i="278"/>
  <c r="T15" i="278"/>
  <c r="G16" i="278"/>
  <c r="G17" i="278"/>
  <c r="G18" i="278"/>
  <c r="G19" i="278"/>
  <c r="H23" i="278"/>
  <c r="H34" i="278" s="1"/>
  <c r="G8" i="277"/>
  <c r="G23" i="277"/>
  <c r="T10" i="278"/>
  <c r="G11" i="277"/>
  <c r="T12" i="277"/>
  <c r="G13" i="277"/>
  <c r="G14" i="277"/>
  <c r="K15" i="277"/>
  <c r="H28" i="277"/>
  <c r="T8" i="278"/>
  <c r="G9" i="278"/>
  <c r="H26" i="278"/>
  <c r="G10" i="277"/>
  <c r="G16" i="276"/>
  <c r="G18" i="276"/>
  <c r="G20" i="276"/>
  <c r="G12" i="276"/>
  <c r="G17" i="276"/>
  <c r="G10" i="276"/>
  <c r="G11" i="276"/>
  <c r="G19" i="276"/>
  <c r="G22" i="276"/>
  <c r="H26" i="276"/>
  <c r="K15" i="276"/>
  <c r="H23" i="276"/>
  <c r="H34" i="276" s="1"/>
  <c r="D42" i="122"/>
  <c r="F42" i="122" s="1"/>
  <c r="G14" i="276"/>
  <c r="G21" i="276"/>
  <c r="G8" i="276"/>
  <c r="G23" i="276"/>
  <c r="T11" i="276"/>
  <c r="K15" i="275"/>
  <c r="H23" i="275"/>
  <c r="H34" i="275" s="1"/>
  <c r="G11" i="275"/>
  <c r="G23" i="275"/>
  <c r="G8" i="275"/>
  <c r="G12" i="275"/>
  <c r="G19" i="275"/>
  <c r="G13" i="275"/>
  <c r="G22" i="275"/>
  <c r="G9" i="276"/>
  <c r="T14" i="276"/>
  <c r="G15" i="276"/>
  <c r="T10" i="276"/>
  <c r="G13" i="276"/>
  <c r="T8" i="275"/>
  <c r="G9" i="275"/>
  <c r="G15" i="275"/>
  <c r="H26" i="275"/>
  <c r="T10" i="275"/>
  <c r="G20" i="274"/>
  <c r="K15" i="274"/>
  <c r="G9" i="274"/>
  <c r="G21" i="274"/>
  <c r="G14" i="274"/>
  <c r="G15" i="274"/>
  <c r="G23" i="274"/>
  <c r="G8" i="274"/>
  <c r="G10" i="274"/>
  <c r="G11" i="274"/>
  <c r="G22" i="274"/>
  <c r="T11" i="274"/>
  <c r="G12" i="274"/>
  <c r="T15" i="274"/>
  <c r="G16" i="274"/>
  <c r="G17" i="274"/>
  <c r="G18" i="274"/>
  <c r="G19" i="274"/>
  <c r="H23" i="274"/>
  <c r="H34" i="274" s="1"/>
  <c r="T14" i="274"/>
  <c r="H26" i="274"/>
  <c r="T10" i="274"/>
  <c r="G13" i="274"/>
  <c r="G10" i="273"/>
  <c r="G21" i="273"/>
  <c r="G8" i="273"/>
  <c r="G15" i="273"/>
  <c r="K15" i="273"/>
  <c r="G11" i="273"/>
  <c r="G23" i="273"/>
  <c r="G20" i="273"/>
  <c r="G9" i="273"/>
  <c r="T8" i="273"/>
  <c r="G14" i="273"/>
  <c r="G22" i="273"/>
  <c r="D39" i="122"/>
  <c r="F39" i="122" s="1"/>
  <c r="T11" i="273"/>
  <c r="G12" i="273"/>
  <c r="G16" i="273"/>
  <c r="G17" i="273"/>
  <c r="G18" i="273"/>
  <c r="G19" i="273"/>
  <c r="H23" i="273"/>
  <c r="H34" i="273" s="1"/>
  <c r="H26" i="273"/>
  <c r="T14" i="273"/>
  <c r="T10" i="273"/>
  <c r="G13" i="273"/>
  <c r="H5" i="267"/>
  <c r="E5" i="267" s="1"/>
  <c r="G5" i="267" s="1"/>
  <c r="D5" i="267" s="1"/>
  <c r="H10" i="267"/>
  <c r="G12" i="271"/>
  <c r="G15" i="271"/>
  <c r="H26" i="271"/>
  <c r="G8" i="271"/>
  <c r="G9" i="271"/>
  <c r="G17" i="271"/>
  <c r="G19" i="271"/>
  <c r="G16" i="271"/>
  <c r="G18" i="271"/>
  <c r="G20" i="271"/>
  <c r="G20" i="272"/>
  <c r="G14" i="272"/>
  <c r="G15" i="272"/>
  <c r="G10" i="272"/>
  <c r="G8" i="272"/>
  <c r="G19" i="272"/>
  <c r="G12" i="272"/>
  <c r="G13" i="272"/>
  <c r="G16" i="272"/>
  <c r="G21" i="272"/>
  <c r="K15" i="272"/>
  <c r="H23" i="272"/>
  <c r="H34" i="272" s="1"/>
  <c r="D38" i="122"/>
  <c r="F38" i="122" s="1"/>
  <c r="G11" i="272"/>
  <c r="G23" i="272"/>
  <c r="G22" i="272"/>
  <c r="T15" i="272"/>
  <c r="G11" i="271"/>
  <c r="T12" i="271"/>
  <c r="G13" i="271"/>
  <c r="G14" i="271"/>
  <c r="K15" i="271"/>
  <c r="H28" i="271"/>
  <c r="T8" i="272"/>
  <c r="G9" i="272"/>
  <c r="H26" i="272"/>
  <c r="G10" i="271"/>
  <c r="G22" i="271"/>
  <c r="G23" i="271"/>
  <c r="T10" i="272"/>
  <c r="K15" i="270"/>
  <c r="H23" i="270"/>
  <c r="H34" i="270" s="1"/>
  <c r="G17" i="270"/>
  <c r="G19" i="270"/>
  <c r="G13" i="270"/>
  <c r="G14" i="270"/>
  <c r="G16" i="270"/>
  <c r="G21" i="270"/>
  <c r="G18" i="270"/>
  <c r="G20" i="270"/>
  <c r="G8" i="270"/>
  <c r="G11" i="270"/>
  <c r="T13" i="270"/>
  <c r="G23" i="270"/>
  <c r="G10" i="270"/>
  <c r="G22" i="270"/>
  <c r="T8" i="270"/>
  <c r="G9" i="270"/>
  <c r="G15" i="270"/>
  <c r="H26" i="270"/>
  <c r="G18" i="269"/>
  <c r="G20" i="269"/>
  <c r="G17" i="269"/>
  <c r="G14" i="268"/>
  <c r="T8" i="268"/>
  <c r="T9" i="268"/>
  <c r="G15" i="268"/>
  <c r="G17" i="268"/>
  <c r="G19" i="268"/>
  <c r="G23" i="268"/>
  <c r="G10" i="269"/>
  <c r="T12" i="269"/>
  <c r="G14" i="269"/>
  <c r="G15" i="269"/>
  <c r="G23" i="269"/>
  <c r="G11" i="269"/>
  <c r="G13" i="269"/>
  <c r="G21" i="269"/>
  <c r="G8" i="269"/>
  <c r="G22" i="269"/>
  <c r="H26" i="268"/>
  <c r="K15" i="269"/>
  <c r="D34" i="122"/>
  <c r="F34" i="122" s="1"/>
  <c r="H23" i="269"/>
  <c r="H34" i="269" s="1"/>
  <c r="T14" i="268"/>
  <c r="T15" i="269"/>
  <c r="G11" i="268"/>
  <c r="T12" i="268"/>
  <c r="G13" i="268"/>
  <c r="K15" i="268"/>
  <c r="H28" i="268"/>
  <c r="T8" i="269"/>
  <c r="G9" i="269"/>
  <c r="H26" i="269"/>
  <c r="G10" i="268"/>
  <c r="G22" i="268"/>
  <c r="T10" i="269"/>
  <c r="H6" i="267"/>
  <c r="J7" i="267"/>
  <c r="H17" i="267"/>
  <c r="J18" i="267"/>
  <c r="K7" i="267"/>
  <c r="I6" i="267"/>
  <c r="F6" i="267" s="1"/>
  <c r="K18" i="267"/>
  <c r="I17" i="267"/>
  <c r="J11" i="267"/>
  <c r="K11" i="267"/>
  <c r="E6" i="267" l="1"/>
  <c r="G6" i="267" s="1"/>
  <c r="D6" i="267" s="1"/>
  <c r="H11" i="267"/>
  <c r="J12" i="267"/>
  <c r="K8" i="267"/>
  <c r="I7" i="267"/>
  <c r="F7" i="267" s="1"/>
  <c r="H18" i="267"/>
  <c r="J19" i="267"/>
  <c r="K19" i="267"/>
  <c r="I18" i="267"/>
  <c r="K12" i="267"/>
  <c r="I11" i="267"/>
  <c r="H7" i="267"/>
  <c r="J8" i="267"/>
  <c r="E7" i="267" l="1"/>
  <c r="G7" i="267" s="1"/>
  <c r="D7" i="267" s="1"/>
  <c r="K13" i="267"/>
  <c r="I12" i="267"/>
  <c r="H8" i="267"/>
  <c r="J9" i="267"/>
  <c r="H9" i="267" s="1"/>
  <c r="K20" i="267"/>
  <c r="I19" i="267"/>
  <c r="K9" i="267"/>
  <c r="I9" i="267" s="1"/>
  <c r="I8" i="267"/>
  <c r="F8" i="267" s="1"/>
  <c r="H19" i="267"/>
  <c r="J20" i="267"/>
  <c r="H12" i="267"/>
  <c r="J13" i="267"/>
  <c r="E8" i="267" l="1"/>
  <c r="G8" i="267" s="1"/>
  <c r="D8" i="267" s="1"/>
  <c r="F9" i="267"/>
  <c r="F10" i="267" s="1"/>
  <c r="F11" i="267" s="1"/>
  <c r="F12" i="267" s="1"/>
  <c r="I20" i="267"/>
  <c r="K14" i="267"/>
  <c r="I13" i="267"/>
  <c r="H13" i="267"/>
  <c r="J14" i="267"/>
  <c r="H20" i="267"/>
  <c r="J21" i="267"/>
  <c r="E9" i="267" l="1"/>
  <c r="G9" i="267" s="1"/>
  <c r="D9" i="267" s="1"/>
  <c r="F13" i="267"/>
  <c r="H21" i="267"/>
  <c r="J22" i="267"/>
  <c r="K15" i="267"/>
  <c r="I14" i="267"/>
  <c r="K22" i="267"/>
  <c r="I21" i="267"/>
  <c r="H14" i="267"/>
  <c r="J15" i="267"/>
  <c r="E10" i="267" l="1"/>
  <c r="E11" i="267" s="1"/>
  <c r="F14" i="267"/>
  <c r="K23" i="267"/>
  <c r="I22" i="267"/>
  <c r="K16" i="267"/>
  <c r="I16" i="267" s="1"/>
  <c r="I15" i="267"/>
  <c r="H15" i="267"/>
  <c r="J16" i="267"/>
  <c r="H16" i="267" s="1"/>
  <c r="H22" i="267"/>
  <c r="J23" i="267"/>
  <c r="G10" i="267" l="1"/>
  <c r="D10" i="267" s="1"/>
  <c r="F15" i="267"/>
  <c r="F16" i="267" s="1"/>
  <c r="F17" i="267" s="1"/>
  <c r="F18" i="267" s="1"/>
  <c r="F19" i="267" s="1"/>
  <c r="F20" i="267" s="1"/>
  <c r="H23" i="267"/>
  <c r="J24" i="267"/>
  <c r="H24" i="267" s="1"/>
  <c r="K24" i="267"/>
  <c r="I24" i="267" s="1"/>
  <c r="I23" i="267"/>
  <c r="G11" i="267"/>
  <c r="D11" i="267" s="1"/>
  <c r="E12" i="267"/>
  <c r="G12" i="267" l="1"/>
  <c r="D12" i="267" s="1"/>
  <c r="E13" i="267"/>
  <c r="G13" i="267" l="1"/>
  <c r="D13" i="267" s="1"/>
  <c r="E14" i="267"/>
  <c r="G14" i="267" l="1"/>
  <c r="D14" i="267" s="1"/>
  <c r="E15" i="267"/>
  <c r="G15" i="267" l="1"/>
  <c r="D15" i="267" s="1"/>
  <c r="E16" i="267"/>
  <c r="G16" i="267" l="1"/>
  <c r="D16" i="267" s="1"/>
  <c r="E17" i="267"/>
  <c r="G17" i="267" l="1"/>
  <c r="D17" i="267" s="1"/>
  <c r="E18" i="267"/>
  <c r="G18" i="267" l="1"/>
  <c r="D18" i="267" s="1"/>
  <c r="E19" i="267"/>
  <c r="G19" i="267" l="1"/>
  <c r="D19" i="267" s="1"/>
  <c r="E20" i="267"/>
  <c r="G20" i="267" s="1"/>
  <c r="D20" i="267" s="1"/>
  <c r="F23" i="263" l="1"/>
  <c r="B23" i="263"/>
  <c r="F23" i="264"/>
  <c r="F22" i="264"/>
  <c r="B23" i="264"/>
  <c r="B22" i="264"/>
  <c r="B23" i="265"/>
  <c r="B22" i="265"/>
  <c r="F23" i="265"/>
  <c r="F22" i="265"/>
  <c r="G3" i="263"/>
  <c r="G2" i="263"/>
  <c r="G3" i="264"/>
  <c r="G2" i="264"/>
  <c r="G2" i="265"/>
  <c r="G3" i="265"/>
  <c r="F21" i="265"/>
  <c r="B21" i="265"/>
  <c r="M20" i="265"/>
  <c r="M21" i="265" s="1"/>
  <c r="F20" i="265"/>
  <c r="B20" i="265"/>
  <c r="F19" i="265"/>
  <c r="B19" i="265"/>
  <c r="F18" i="265"/>
  <c r="B18" i="265"/>
  <c r="F17" i="265"/>
  <c r="B17" i="265"/>
  <c r="F16" i="265"/>
  <c r="B16" i="265"/>
  <c r="S15" i="265"/>
  <c r="F15" i="265"/>
  <c r="B15" i="265"/>
  <c r="S14" i="265"/>
  <c r="K14" i="265"/>
  <c r="H28" i="265" s="1"/>
  <c r="F14" i="265"/>
  <c r="T14" i="265" s="1"/>
  <c r="B14" i="265"/>
  <c r="S13" i="265"/>
  <c r="F13" i="265"/>
  <c r="T13" i="265" s="1"/>
  <c r="B13" i="265"/>
  <c r="S12" i="265"/>
  <c r="F12" i="265"/>
  <c r="T12" i="265" s="1"/>
  <c r="B12" i="265"/>
  <c r="S11" i="265"/>
  <c r="F11" i="265"/>
  <c r="B11" i="265"/>
  <c r="S10" i="265"/>
  <c r="L13" i="265"/>
  <c r="M13" i="265" s="1"/>
  <c r="F10" i="265"/>
  <c r="B10" i="265"/>
  <c r="S9" i="265"/>
  <c r="F9" i="265"/>
  <c r="T9" i="265" s="1"/>
  <c r="B9" i="265"/>
  <c r="S8" i="265"/>
  <c r="F8" i="265"/>
  <c r="B8" i="265"/>
  <c r="A8" i="265"/>
  <c r="A9" i="265" s="1"/>
  <c r="A10" i="265" s="1"/>
  <c r="A11" i="265" s="1"/>
  <c r="A12" i="265" s="1"/>
  <c r="A13" i="265" s="1"/>
  <c r="A14" i="265" s="1"/>
  <c r="A15" i="265" s="1"/>
  <c r="A16" i="265" s="1"/>
  <c r="A17" i="265" s="1"/>
  <c r="A18" i="265" s="1"/>
  <c r="A19" i="265" s="1"/>
  <c r="A20" i="265" s="1"/>
  <c r="A21" i="265" s="1"/>
  <c r="A22" i="265" s="1"/>
  <c r="A23" i="265" s="1"/>
  <c r="F7" i="265"/>
  <c r="E4" i="265"/>
  <c r="H21" i="264"/>
  <c r="F21" i="264"/>
  <c r="B21" i="264"/>
  <c r="M20" i="264"/>
  <c r="M21" i="264" s="1"/>
  <c r="F20" i="264"/>
  <c r="B20" i="264"/>
  <c r="F19" i="264"/>
  <c r="B19" i="264"/>
  <c r="F18" i="264"/>
  <c r="B18" i="264"/>
  <c r="F17" i="264"/>
  <c r="B17" i="264"/>
  <c r="F16" i="264"/>
  <c r="B16" i="264"/>
  <c r="S15" i="264"/>
  <c r="F15" i="264"/>
  <c r="T15" i="264" s="1"/>
  <c r="B15" i="264"/>
  <c r="S14" i="264"/>
  <c r="K14" i="264"/>
  <c r="H23" i="264" s="1"/>
  <c r="H34" i="264" s="1"/>
  <c r="F14" i="264"/>
  <c r="T14" i="264" s="1"/>
  <c r="B14" i="264"/>
  <c r="S13" i="264"/>
  <c r="F13" i="264"/>
  <c r="T13" i="264" s="1"/>
  <c r="B13" i="264"/>
  <c r="S12" i="264"/>
  <c r="F12" i="264"/>
  <c r="B12" i="264"/>
  <c r="S11" i="264"/>
  <c r="F11" i="264"/>
  <c r="T11" i="264" s="1"/>
  <c r="B11" i="264"/>
  <c r="S10" i="264"/>
  <c r="M10" i="264"/>
  <c r="L13" i="264" s="1"/>
  <c r="M13" i="264" s="1"/>
  <c r="F10" i="264"/>
  <c r="T10" i="264" s="1"/>
  <c r="B10" i="264"/>
  <c r="S9" i="264"/>
  <c r="F9" i="264"/>
  <c r="T9" i="264" s="1"/>
  <c r="B9" i="264"/>
  <c r="S8" i="264"/>
  <c r="F8" i="264"/>
  <c r="B8" i="264"/>
  <c r="A8" i="264"/>
  <c r="A9" i="264" s="1"/>
  <c r="A10" i="264" s="1"/>
  <c r="A11" i="264" s="1"/>
  <c r="A12" i="264" s="1"/>
  <c r="A13" i="264" s="1"/>
  <c r="A14" i="264" s="1"/>
  <c r="A15" i="264" s="1"/>
  <c r="A16" i="264" s="1"/>
  <c r="A17" i="264" s="1"/>
  <c r="A18" i="264" s="1"/>
  <c r="A19" i="264" s="1"/>
  <c r="A20" i="264" s="1"/>
  <c r="A21" i="264" s="1"/>
  <c r="A22" i="264" s="1"/>
  <c r="A23" i="264" s="1"/>
  <c r="F7" i="264"/>
  <c r="E4" i="264"/>
  <c r="F22" i="263"/>
  <c r="B22" i="263"/>
  <c r="M21" i="263"/>
  <c r="H21" i="263"/>
  <c r="F21" i="263"/>
  <c r="B21" i="263"/>
  <c r="M20" i="263"/>
  <c r="F20" i="263"/>
  <c r="B20" i="263"/>
  <c r="F19" i="263"/>
  <c r="B19" i="263"/>
  <c r="F18" i="263"/>
  <c r="B18" i="263"/>
  <c r="F17" i="263"/>
  <c r="B17" i="263"/>
  <c r="F16" i="263"/>
  <c r="B16" i="263"/>
  <c r="S15" i="263"/>
  <c r="F15" i="263"/>
  <c r="B15" i="263"/>
  <c r="S14" i="263"/>
  <c r="K14" i="263"/>
  <c r="H26" i="263" s="1"/>
  <c r="F14" i="263"/>
  <c r="T14" i="263" s="1"/>
  <c r="B14" i="263"/>
  <c r="S13" i="263"/>
  <c r="F13" i="263"/>
  <c r="T13" i="263" s="1"/>
  <c r="B13" i="263"/>
  <c r="S12" i="263"/>
  <c r="F12" i="263"/>
  <c r="B12" i="263"/>
  <c r="S11" i="263"/>
  <c r="F11" i="263"/>
  <c r="T11" i="263" s="1"/>
  <c r="B11" i="263"/>
  <c r="S10" i="263"/>
  <c r="M10" i="263"/>
  <c r="L13" i="263" s="1"/>
  <c r="M13" i="263" s="1"/>
  <c r="F10" i="263"/>
  <c r="B10" i="263"/>
  <c r="T9" i="263"/>
  <c r="S9" i="263"/>
  <c r="F9" i="263"/>
  <c r="B9" i="263"/>
  <c r="S8" i="263"/>
  <c r="F8" i="263"/>
  <c r="T8" i="263" s="1"/>
  <c r="B8" i="263"/>
  <c r="A8" i="263"/>
  <c r="A9" i="263" s="1"/>
  <c r="A10" i="263" s="1"/>
  <c r="A11" i="263" s="1"/>
  <c r="A12" i="263" s="1"/>
  <c r="A13" i="263" s="1"/>
  <c r="A14" i="263" s="1"/>
  <c r="A15" i="263" s="1"/>
  <c r="A16" i="263" s="1"/>
  <c r="A17" i="263" s="1"/>
  <c r="A18" i="263" s="1"/>
  <c r="A19" i="263" s="1"/>
  <c r="A20" i="263" s="1"/>
  <c r="A21" i="263" s="1"/>
  <c r="A22" i="263" s="1"/>
  <c r="A23" i="263" s="1"/>
  <c r="F7" i="263"/>
  <c r="E4" i="263"/>
  <c r="K15" i="264" l="1"/>
  <c r="H26" i="264"/>
  <c r="G16" i="265"/>
  <c r="G22" i="264"/>
  <c r="G8" i="264"/>
  <c r="G9" i="264"/>
  <c r="G11" i="263"/>
  <c r="G21" i="264"/>
  <c r="G15" i="263"/>
  <c r="G12" i="263"/>
  <c r="G23" i="263"/>
  <c r="G22" i="265"/>
  <c r="G23" i="264"/>
  <c r="G12" i="264"/>
  <c r="G20" i="265"/>
  <c r="G22" i="263"/>
  <c r="G17" i="263"/>
  <c r="G19" i="263"/>
  <c r="T12" i="263"/>
  <c r="G21" i="263"/>
  <c r="G9" i="263"/>
  <c r="G10" i="263"/>
  <c r="G16" i="263"/>
  <c r="G18" i="263"/>
  <c r="G20" i="263"/>
  <c r="G11" i="264"/>
  <c r="G13" i="264"/>
  <c r="G17" i="264"/>
  <c r="G19" i="264"/>
  <c r="T12" i="264"/>
  <c r="G14" i="264"/>
  <c r="G15" i="264"/>
  <c r="G16" i="264"/>
  <c r="G18" i="264"/>
  <c r="G20" i="264"/>
  <c r="G10" i="265"/>
  <c r="G11" i="265"/>
  <c r="G12" i="265"/>
  <c r="G14" i="265"/>
  <c r="G15" i="265"/>
  <c r="G23" i="265"/>
  <c r="G19" i="265"/>
  <c r="G18" i="265"/>
  <c r="G8" i="265"/>
  <c r="G17" i="265"/>
  <c r="T11" i="265"/>
  <c r="G13" i="265"/>
  <c r="G21" i="265"/>
  <c r="K15" i="263"/>
  <c r="D33" i="122"/>
  <c r="F33" i="122" s="1"/>
  <c r="D32" i="122"/>
  <c r="F32" i="122" s="1"/>
  <c r="D31" i="122"/>
  <c r="F31" i="122" s="1"/>
  <c r="H23" i="265"/>
  <c r="H34" i="265" s="1"/>
  <c r="K15" i="265"/>
  <c r="G13" i="263"/>
  <c r="G14" i="263"/>
  <c r="H28" i="263"/>
  <c r="T8" i="264"/>
  <c r="T15" i="265"/>
  <c r="H28" i="264"/>
  <c r="T8" i="265"/>
  <c r="G9" i="265"/>
  <c r="H26" i="265"/>
  <c r="G8" i="263"/>
  <c r="H23" i="263"/>
  <c r="H34" i="263" s="1"/>
  <c r="G10" i="264"/>
  <c r="T10" i="265"/>
  <c r="T10" i="263"/>
  <c r="T15" i="263"/>
  <c r="D28" i="122" l="1"/>
  <c r="F28" i="122" s="1"/>
  <c r="G3" i="260"/>
  <c r="G2" i="260"/>
  <c r="G3" i="261"/>
  <c r="G2" i="261"/>
  <c r="G2" i="262"/>
  <c r="G3" i="262"/>
  <c r="H21" i="262"/>
  <c r="F21" i="262"/>
  <c r="G21" i="262" s="1"/>
  <c r="B21" i="262"/>
  <c r="M20" i="262"/>
  <c r="M21" i="262" s="1"/>
  <c r="F20" i="262"/>
  <c r="B20" i="262"/>
  <c r="F19" i="262"/>
  <c r="B19" i="262"/>
  <c r="F18" i="262"/>
  <c r="B18" i="262"/>
  <c r="F17" i="262"/>
  <c r="B17" i="262"/>
  <c r="F16" i="262"/>
  <c r="B16" i="262"/>
  <c r="S15" i="262"/>
  <c r="G15" i="262"/>
  <c r="F15" i="262"/>
  <c r="T15" i="262" s="1"/>
  <c r="B15" i="262"/>
  <c r="S14" i="262"/>
  <c r="K14" i="262"/>
  <c r="H28" i="262" s="1"/>
  <c r="F14" i="262"/>
  <c r="T14" i="262" s="1"/>
  <c r="B14" i="262"/>
  <c r="T13" i="262"/>
  <c r="S13" i="262"/>
  <c r="G13" i="262"/>
  <c r="F13" i="262"/>
  <c r="B13" i="262"/>
  <c r="T12" i="262"/>
  <c r="S12" i="262"/>
  <c r="F12" i="262"/>
  <c r="B12" i="262"/>
  <c r="S11" i="262"/>
  <c r="G11" i="262"/>
  <c r="F11" i="262"/>
  <c r="T11" i="262" s="1"/>
  <c r="B11" i="262"/>
  <c r="S10" i="262"/>
  <c r="M10" i="262"/>
  <c r="L13" i="262" s="1"/>
  <c r="M13" i="262" s="1"/>
  <c r="F10" i="262"/>
  <c r="B10" i="262"/>
  <c r="S9" i="262"/>
  <c r="G9" i="262"/>
  <c r="F9" i="262"/>
  <c r="T9" i="262" s="1"/>
  <c r="B9" i="262"/>
  <c r="S8" i="262"/>
  <c r="F8" i="262"/>
  <c r="G8" i="262" s="1"/>
  <c r="B8" i="262"/>
  <c r="A8" i="262"/>
  <c r="A9" i="262" s="1"/>
  <c r="A10" i="262" s="1"/>
  <c r="A11" i="262" s="1"/>
  <c r="A12" i="262" s="1"/>
  <c r="A13" i="262" s="1"/>
  <c r="A14" i="262" s="1"/>
  <c r="A15" i="262" s="1"/>
  <c r="A16" i="262" s="1"/>
  <c r="A17" i="262" s="1"/>
  <c r="A18" i="262" s="1"/>
  <c r="A19" i="262" s="1"/>
  <c r="A20" i="262" s="1"/>
  <c r="A21" i="262" s="1"/>
  <c r="F7" i="262"/>
  <c r="G20" i="262" s="1"/>
  <c r="E4" i="262"/>
  <c r="M21" i="261"/>
  <c r="H21" i="261"/>
  <c r="F21" i="261"/>
  <c r="B21" i="261"/>
  <c r="M20" i="261"/>
  <c r="F20" i="261"/>
  <c r="G20" i="261" s="1"/>
  <c r="B20" i="261"/>
  <c r="F19" i="261"/>
  <c r="B19" i="261"/>
  <c r="F18" i="261"/>
  <c r="G18" i="261" s="1"/>
  <c r="B18" i="261"/>
  <c r="F17" i="261"/>
  <c r="B17" i="261"/>
  <c r="F16" i="261"/>
  <c r="G16" i="261" s="1"/>
  <c r="B16" i="261"/>
  <c r="S15" i="261"/>
  <c r="F15" i="261"/>
  <c r="T15" i="261" s="1"/>
  <c r="B15" i="261"/>
  <c r="S14" i="261"/>
  <c r="K14" i="261"/>
  <c r="H23" i="261" s="1"/>
  <c r="H34" i="261" s="1"/>
  <c r="F14" i="261"/>
  <c r="T14" i="261" s="1"/>
  <c r="B14" i="261"/>
  <c r="S13" i="261"/>
  <c r="F13" i="261"/>
  <c r="T13" i="261" s="1"/>
  <c r="B13" i="261"/>
  <c r="S12" i="261"/>
  <c r="F12" i="261"/>
  <c r="B12" i="261"/>
  <c r="S11" i="261"/>
  <c r="F11" i="261"/>
  <c r="T11" i="261" s="1"/>
  <c r="B11" i="261"/>
  <c r="S10" i="261"/>
  <c r="M10" i="261"/>
  <c r="L13" i="261" s="1"/>
  <c r="M13" i="261" s="1"/>
  <c r="F10" i="261"/>
  <c r="T10" i="261" s="1"/>
  <c r="B10" i="261"/>
  <c r="T9" i="261"/>
  <c r="S9" i="261"/>
  <c r="F9" i="261"/>
  <c r="B9" i="261"/>
  <c r="S8" i="261"/>
  <c r="F8" i="261"/>
  <c r="T8" i="261" s="1"/>
  <c r="B8" i="261"/>
  <c r="A8" i="261"/>
  <c r="A9" i="261" s="1"/>
  <c r="A10" i="261" s="1"/>
  <c r="A11" i="261" s="1"/>
  <c r="A12" i="261" s="1"/>
  <c r="A13" i="261" s="1"/>
  <c r="A14" i="261" s="1"/>
  <c r="A15" i="261" s="1"/>
  <c r="A16" i="261" s="1"/>
  <c r="A17" i="261" s="1"/>
  <c r="A18" i="261" s="1"/>
  <c r="A19" i="261" s="1"/>
  <c r="A20" i="261" s="1"/>
  <c r="A21" i="261" s="1"/>
  <c r="F7" i="261"/>
  <c r="E4" i="261"/>
  <c r="H23" i="260"/>
  <c r="H34" i="260" s="1"/>
  <c r="F22" i="260"/>
  <c r="B22" i="260"/>
  <c r="M21" i="260"/>
  <c r="H21" i="260"/>
  <c r="F21" i="260"/>
  <c r="B21" i="260"/>
  <c r="M20" i="260"/>
  <c r="F20" i="260"/>
  <c r="B20" i="260"/>
  <c r="F19" i="260"/>
  <c r="B19" i="260"/>
  <c r="F18" i="260"/>
  <c r="G18" i="260" s="1"/>
  <c r="B18" i="260"/>
  <c r="F17" i="260"/>
  <c r="B17" i="260"/>
  <c r="F16" i="260"/>
  <c r="B16" i="260"/>
  <c r="S15" i="260"/>
  <c r="F15" i="260"/>
  <c r="B15" i="260"/>
  <c r="S14" i="260"/>
  <c r="K14" i="260"/>
  <c r="H26" i="260" s="1"/>
  <c r="F14" i="260"/>
  <c r="T14" i="260" s="1"/>
  <c r="B14" i="260"/>
  <c r="S13" i="260"/>
  <c r="F13" i="260"/>
  <c r="T13" i="260" s="1"/>
  <c r="B13" i="260"/>
  <c r="S12" i="260"/>
  <c r="F12" i="260"/>
  <c r="T12" i="260" s="1"/>
  <c r="B12" i="260"/>
  <c r="S11" i="260"/>
  <c r="F11" i="260"/>
  <c r="T11" i="260" s="1"/>
  <c r="B11" i="260"/>
  <c r="S10" i="260"/>
  <c r="M10" i="260"/>
  <c r="L13" i="260" s="1"/>
  <c r="M13" i="260" s="1"/>
  <c r="F10" i="260"/>
  <c r="T10" i="260" s="1"/>
  <c r="B10" i="260"/>
  <c r="S9" i="260"/>
  <c r="F9" i="260"/>
  <c r="B9" i="260"/>
  <c r="S8" i="260"/>
  <c r="F8" i="260"/>
  <c r="T8" i="260" s="1"/>
  <c r="B8" i="260"/>
  <c r="A8" i="260"/>
  <c r="A9" i="260" s="1"/>
  <c r="A10" i="260" s="1"/>
  <c r="A11" i="260" s="1"/>
  <c r="A12" i="260" s="1"/>
  <c r="A13" i="260" s="1"/>
  <c r="A14" i="260" s="1"/>
  <c r="A15" i="260" s="1"/>
  <c r="A16" i="260" s="1"/>
  <c r="A17" i="260" s="1"/>
  <c r="A18" i="260" s="1"/>
  <c r="A19" i="260" s="1"/>
  <c r="A20" i="260" s="1"/>
  <c r="A21" i="260" s="1"/>
  <c r="A22" i="260" s="1"/>
  <c r="F7" i="260"/>
  <c r="G22" i="260" s="1"/>
  <c r="E4" i="260"/>
  <c r="F22" i="256"/>
  <c r="B22" i="256"/>
  <c r="F22" i="257"/>
  <c r="G22" i="257" s="1"/>
  <c r="B22" i="257"/>
  <c r="G3" i="256"/>
  <c r="G2" i="256"/>
  <c r="G3" i="257"/>
  <c r="G2" i="257"/>
  <c r="G3" i="258"/>
  <c r="G2" i="258"/>
  <c r="G2" i="259"/>
  <c r="G3" i="259"/>
  <c r="D24" i="122"/>
  <c r="F24" i="122" s="1"/>
  <c r="H21" i="259"/>
  <c r="F21" i="259"/>
  <c r="B21" i="259"/>
  <c r="M20" i="259"/>
  <c r="M21" i="259" s="1"/>
  <c r="F20" i="259"/>
  <c r="G20" i="259" s="1"/>
  <c r="B20" i="259"/>
  <c r="G19" i="259"/>
  <c r="F19" i="259"/>
  <c r="B19" i="259"/>
  <c r="F18" i="259"/>
  <c r="G18" i="259" s="1"/>
  <c r="B18" i="259"/>
  <c r="F17" i="259"/>
  <c r="B17" i="259"/>
  <c r="F16" i="259"/>
  <c r="G16" i="259" s="1"/>
  <c r="B16" i="259"/>
  <c r="S15" i="259"/>
  <c r="F15" i="259"/>
  <c r="B15" i="259"/>
  <c r="S14" i="259"/>
  <c r="K14" i="259"/>
  <c r="H28" i="259" s="1"/>
  <c r="F14" i="259"/>
  <c r="T14" i="259" s="1"/>
  <c r="B14" i="259"/>
  <c r="T13" i="259"/>
  <c r="S13" i="259"/>
  <c r="F13" i="259"/>
  <c r="B13" i="259"/>
  <c r="S12" i="259"/>
  <c r="F12" i="259"/>
  <c r="T12" i="259" s="1"/>
  <c r="B12" i="259"/>
  <c r="S11" i="259"/>
  <c r="G11" i="259"/>
  <c r="F11" i="259"/>
  <c r="T11" i="259" s="1"/>
  <c r="B11" i="259"/>
  <c r="S10" i="259"/>
  <c r="M10" i="259"/>
  <c r="L13" i="259" s="1"/>
  <c r="M13" i="259" s="1"/>
  <c r="F10" i="259"/>
  <c r="G10" i="259" s="1"/>
  <c r="B10" i="259"/>
  <c r="S9" i="259"/>
  <c r="F9" i="259"/>
  <c r="T9" i="259" s="1"/>
  <c r="B9" i="259"/>
  <c r="S8" i="259"/>
  <c r="F8" i="259"/>
  <c r="G8" i="259" s="1"/>
  <c r="B8" i="259"/>
  <c r="A8" i="259"/>
  <c r="A9" i="259" s="1"/>
  <c r="A10" i="259" s="1"/>
  <c r="A11" i="259" s="1"/>
  <c r="A12" i="259" s="1"/>
  <c r="A13" i="259" s="1"/>
  <c r="A14" i="259" s="1"/>
  <c r="A15" i="259" s="1"/>
  <c r="A16" i="259" s="1"/>
  <c r="A17" i="259" s="1"/>
  <c r="A18" i="259" s="1"/>
  <c r="A19" i="259" s="1"/>
  <c r="A20" i="259" s="1"/>
  <c r="A21" i="259" s="1"/>
  <c r="F7" i="259"/>
  <c r="G14" i="259" s="1"/>
  <c r="E4" i="259"/>
  <c r="H21" i="258"/>
  <c r="F21" i="258"/>
  <c r="B21" i="258"/>
  <c r="M20" i="258"/>
  <c r="M21" i="258" s="1"/>
  <c r="F20" i="258"/>
  <c r="B20" i="258"/>
  <c r="F19" i="258"/>
  <c r="B19" i="258"/>
  <c r="F18" i="258"/>
  <c r="B18" i="258"/>
  <c r="F17" i="258"/>
  <c r="B17" i="258"/>
  <c r="F16" i="258"/>
  <c r="B16" i="258"/>
  <c r="S15" i="258"/>
  <c r="F15" i="258"/>
  <c r="T15" i="258" s="1"/>
  <c r="B15" i="258"/>
  <c r="S14" i="258"/>
  <c r="K14" i="258"/>
  <c r="H23" i="258" s="1"/>
  <c r="H34" i="258" s="1"/>
  <c r="F14" i="258"/>
  <c r="B14" i="258"/>
  <c r="S13" i="258"/>
  <c r="L13" i="258"/>
  <c r="M13" i="258" s="1"/>
  <c r="F13" i="258"/>
  <c r="T13" i="258" s="1"/>
  <c r="B13" i="258"/>
  <c r="S12" i="258"/>
  <c r="F12" i="258"/>
  <c r="B12" i="258"/>
  <c r="S11" i="258"/>
  <c r="F11" i="258"/>
  <c r="T11" i="258" s="1"/>
  <c r="B11" i="258"/>
  <c r="S10" i="258"/>
  <c r="M10" i="258"/>
  <c r="F10" i="258"/>
  <c r="T10" i="258" s="1"/>
  <c r="B10" i="258"/>
  <c r="S9" i="258"/>
  <c r="F9" i="258"/>
  <c r="T9" i="258" s="1"/>
  <c r="B9" i="258"/>
  <c r="S8" i="258"/>
  <c r="F8" i="258"/>
  <c r="T8" i="258" s="1"/>
  <c r="B8" i="258"/>
  <c r="A8" i="258"/>
  <c r="A9" i="258" s="1"/>
  <c r="A10" i="258" s="1"/>
  <c r="A11" i="258" s="1"/>
  <c r="A12" i="258" s="1"/>
  <c r="A13" i="258" s="1"/>
  <c r="A14" i="258" s="1"/>
  <c r="A15" i="258" s="1"/>
  <c r="A16" i="258" s="1"/>
  <c r="A17" i="258" s="1"/>
  <c r="A18" i="258" s="1"/>
  <c r="A19" i="258" s="1"/>
  <c r="A20" i="258" s="1"/>
  <c r="A21" i="258" s="1"/>
  <c r="F7" i="258"/>
  <c r="E4" i="258"/>
  <c r="M21" i="257"/>
  <c r="H21" i="257"/>
  <c r="F21" i="257"/>
  <c r="B21" i="257"/>
  <c r="M20" i="257"/>
  <c r="F20" i="257"/>
  <c r="G20" i="257" s="1"/>
  <c r="B20" i="257"/>
  <c r="F19" i="257"/>
  <c r="B19" i="257"/>
  <c r="F18" i="257"/>
  <c r="G18" i="257" s="1"/>
  <c r="B18" i="257"/>
  <c r="F17" i="257"/>
  <c r="B17" i="257"/>
  <c r="G16" i="257"/>
  <c r="F16" i="257"/>
  <c r="B16" i="257"/>
  <c r="S15" i="257"/>
  <c r="F15" i="257"/>
  <c r="G15" i="257" s="1"/>
  <c r="B15" i="257"/>
  <c r="S14" i="257"/>
  <c r="K14" i="257"/>
  <c r="H26" i="257" s="1"/>
  <c r="G14" i="257"/>
  <c r="F14" i="257"/>
  <c r="T14" i="257" s="1"/>
  <c r="B14" i="257"/>
  <c r="S13" i="257"/>
  <c r="F13" i="257"/>
  <c r="T13" i="257" s="1"/>
  <c r="B13" i="257"/>
  <c r="T12" i="257"/>
  <c r="S12" i="257"/>
  <c r="G12" i="257"/>
  <c r="F12" i="257"/>
  <c r="B12" i="257"/>
  <c r="S11" i="257"/>
  <c r="F11" i="257"/>
  <c r="G11" i="257" s="1"/>
  <c r="B11" i="257"/>
  <c r="S10" i="257"/>
  <c r="M10" i="257"/>
  <c r="L13" i="257" s="1"/>
  <c r="M13" i="257" s="1"/>
  <c r="F10" i="257"/>
  <c r="G10" i="257" s="1"/>
  <c r="B10" i="257"/>
  <c r="S9" i="257"/>
  <c r="F9" i="257"/>
  <c r="B9" i="257"/>
  <c r="S8" i="257"/>
  <c r="F8" i="257"/>
  <c r="T8" i="257" s="1"/>
  <c r="B8" i="257"/>
  <c r="A8" i="257"/>
  <c r="A9" i="257" s="1"/>
  <c r="A10" i="257" s="1"/>
  <c r="A11" i="257" s="1"/>
  <c r="A12" i="257" s="1"/>
  <c r="A13" i="257" s="1"/>
  <c r="A14" i="257" s="1"/>
  <c r="A15" i="257" s="1"/>
  <c r="A16" i="257" s="1"/>
  <c r="A17" i="257" s="1"/>
  <c r="A18" i="257" s="1"/>
  <c r="A19" i="257" s="1"/>
  <c r="A20" i="257" s="1"/>
  <c r="A21" i="257" s="1"/>
  <c r="A22" i="257" s="1"/>
  <c r="F7" i="257"/>
  <c r="E4" i="257"/>
  <c r="M21" i="256"/>
  <c r="H21" i="256"/>
  <c r="F21" i="256"/>
  <c r="B21" i="256"/>
  <c r="M20" i="256"/>
  <c r="F20" i="256"/>
  <c r="B20" i="256"/>
  <c r="F19" i="256"/>
  <c r="B19" i="256"/>
  <c r="F18" i="256"/>
  <c r="B18" i="256"/>
  <c r="F17" i="256"/>
  <c r="B17" i="256"/>
  <c r="F16" i="256"/>
  <c r="B16" i="256"/>
  <c r="S15" i="256"/>
  <c r="F15" i="256"/>
  <c r="T15" i="256" s="1"/>
  <c r="B15" i="256"/>
  <c r="S14" i="256"/>
  <c r="K14" i="256"/>
  <c r="H28" i="256" s="1"/>
  <c r="F14" i="256"/>
  <c r="B14" i="256"/>
  <c r="S13" i="256"/>
  <c r="F13" i="256"/>
  <c r="T13" i="256" s="1"/>
  <c r="B13" i="256"/>
  <c r="S12" i="256"/>
  <c r="F12" i="256"/>
  <c r="T12" i="256" s="1"/>
  <c r="B12" i="256"/>
  <c r="S11" i="256"/>
  <c r="F11" i="256"/>
  <c r="B11" i="256"/>
  <c r="S10" i="256"/>
  <c r="M10" i="256"/>
  <c r="L13" i="256" s="1"/>
  <c r="M13" i="256" s="1"/>
  <c r="F10" i="256"/>
  <c r="T10" i="256" s="1"/>
  <c r="B10" i="256"/>
  <c r="S9" i="256"/>
  <c r="F9" i="256"/>
  <c r="T9" i="256" s="1"/>
  <c r="B9" i="256"/>
  <c r="S8" i="256"/>
  <c r="F8" i="256"/>
  <c r="T8" i="256" s="1"/>
  <c r="B8" i="256"/>
  <c r="A8" i="256"/>
  <c r="A9" i="256" s="1"/>
  <c r="A10" i="256" s="1"/>
  <c r="A11" i="256" s="1"/>
  <c r="A12" i="256" s="1"/>
  <c r="A13" i="256" s="1"/>
  <c r="A14" i="256" s="1"/>
  <c r="A15" i="256" s="1"/>
  <c r="A16" i="256" s="1"/>
  <c r="A17" i="256" s="1"/>
  <c r="A18" i="256" s="1"/>
  <c r="A19" i="256" s="1"/>
  <c r="A20" i="256" s="1"/>
  <c r="A21" i="256" s="1"/>
  <c r="A22" i="256" s="1"/>
  <c r="F7" i="256"/>
  <c r="E4" i="256"/>
  <c r="B21" i="252"/>
  <c r="F21" i="252"/>
  <c r="G21" i="252"/>
  <c r="G2" i="252"/>
  <c r="G2" i="253"/>
  <c r="G2" i="254"/>
  <c r="G2" i="255"/>
  <c r="D20" i="122"/>
  <c r="F20" i="122" s="1"/>
  <c r="G3" i="252"/>
  <c r="G3" i="253"/>
  <c r="G3" i="254"/>
  <c r="G3" i="255"/>
  <c r="H21" i="255"/>
  <c r="F21" i="255"/>
  <c r="B21" i="255"/>
  <c r="M20" i="255"/>
  <c r="M21" i="255" s="1"/>
  <c r="F20" i="255"/>
  <c r="G20" i="255" s="1"/>
  <c r="B20" i="255"/>
  <c r="G19" i="255"/>
  <c r="F19" i="255"/>
  <c r="B19" i="255"/>
  <c r="F18" i="255"/>
  <c r="G18" i="255" s="1"/>
  <c r="B18" i="255"/>
  <c r="F17" i="255"/>
  <c r="B17" i="255"/>
  <c r="F16" i="255"/>
  <c r="G16" i="255" s="1"/>
  <c r="B16" i="255"/>
  <c r="S15" i="255"/>
  <c r="F15" i="255"/>
  <c r="B15" i="255"/>
  <c r="S14" i="255"/>
  <c r="K14" i="255"/>
  <c r="H28" i="255" s="1"/>
  <c r="F14" i="255"/>
  <c r="T14" i="255" s="1"/>
  <c r="B14" i="255"/>
  <c r="T13" i="255"/>
  <c r="S13" i="255"/>
  <c r="F13" i="255"/>
  <c r="B13" i="255"/>
  <c r="S12" i="255"/>
  <c r="F12" i="255"/>
  <c r="T12" i="255" s="1"/>
  <c r="B12" i="255"/>
  <c r="T11" i="255"/>
  <c r="S11" i="255"/>
  <c r="G11" i="255"/>
  <c r="F11" i="255"/>
  <c r="B11" i="255"/>
  <c r="S10" i="255"/>
  <c r="M10" i="255"/>
  <c r="L13" i="255" s="1"/>
  <c r="M13" i="255" s="1"/>
  <c r="F10" i="255"/>
  <c r="B10" i="255"/>
  <c r="S9" i="255"/>
  <c r="F9" i="255"/>
  <c r="T9" i="255" s="1"/>
  <c r="B9" i="255"/>
  <c r="S8" i="255"/>
  <c r="F8" i="255"/>
  <c r="B8" i="255"/>
  <c r="A8" i="255"/>
  <c r="A9" i="255" s="1"/>
  <c r="A10" i="255" s="1"/>
  <c r="A11" i="255" s="1"/>
  <c r="A12" i="255" s="1"/>
  <c r="A13" i="255" s="1"/>
  <c r="A14" i="255" s="1"/>
  <c r="A15" i="255" s="1"/>
  <c r="A16" i="255" s="1"/>
  <c r="A17" i="255" s="1"/>
  <c r="A18" i="255" s="1"/>
  <c r="A19" i="255" s="1"/>
  <c r="A20" i="255" s="1"/>
  <c r="A21" i="255" s="1"/>
  <c r="F7" i="255"/>
  <c r="G17" i="255" s="1"/>
  <c r="E4" i="255"/>
  <c r="M21" i="254"/>
  <c r="H21" i="254"/>
  <c r="F21" i="254"/>
  <c r="B21" i="254"/>
  <c r="M20" i="254"/>
  <c r="F20" i="254"/>
  <c r="G20" i="254" s="1"/>
  <c r="B20" i="254"/>
  <c r="F19" i="254"/>
  <c r="B19" i="254"/>
  <c r="F18" i="254"/>
  <c r="G18" i="254" s="1"/>
  <c r="B18" i="254"/>
  <c r="F17" i="254"/>
  <c r="B17" i="254"/>
  <c r="F16" i="254"/>
  <c r="G16" i="254" s="1"/>
  <c r="B16" i="254"/>
  <c r="S15" i="254"/>
  <c r="F15" i="254"/>
  <c r="T15" i="254" s="1"/>
  <c r="B15" i="254"/>
  <c r="S14" i="254"/>
  <c r="K14" i="254"/>
  <c r="H23" i="254" s="1"/>
  <c r="H34" i="254" s="1"/>
  <c r="F14" i="254"/>
  <c r="T14" i="254" s="1"/>
  <c r="B14" i="254"/>
  <c r="S13" i="254"/>
  <c r="F13" i="254"/>
  <c r="T13" i="254" s="1"/>
  <c r="B13" i="254"/>
  <c r="S12" i="254"/>
  <c r="F12" i="254"/>
  <c r="G12" i="254" s="1"/>
  <c r="B12" i="254"/>
  <c r="S11" i="254"/>
  <c r="F11" i="254"/>
  <c r="T11" i="254" s="1"/>
  <c r="B11" i="254"/>
  <c r="S10" i="254"/>
  <c r="M10" i="254"/>
  <c r="L13" i="254" s="1"/>
  <c r="M13" i="254" s="1"/>
  <c r="F10" i="254"/>
  <c r="T10" i="254" s="1"/>
  <c r="B10" i="254"/>
  <c r="S9" i="254"/>
  <c r="F9" i="254"/>
  <c r="T9" i="254" s="1"/>
  <c r="B9" i="254"/>
  <c r="S8" i="254"/>
  <c r="F8" i="254"/>
  <c r="G8" i="254" s="1"/>
  <c r="B8" i="254"/>
  <c r="A8" i="254"/>
  <c r="A9" i="254" s="1"/>
  <c r="A10" i="254" s="1"/>
  <c r="A11" i="254" s="1"/>
  <c r="A12" i="254" s="1"/>
  <c r="A13" i="254" s="1"/>
  <c r="A14" i="254" s="1"/>
  <c r="A15" i="254" s="1"/>
  <c r="A16" i="254" s="1"/>
  <c r="A17" i="254" s="1"/>
  <c r="A18" i="254" s="1"/>
  <c r="A19" i="254" s="1"/>
  <c r="A20" i="254" s="1"/>
  <c r="A21" i="254" s="1"/>
  <c r="F7" i="254"/>
  <c r="E4" i="254"/>
  <c r="M21" i="253"/>
  <c r="H21" i="253"/>
  <c r="F21" i="253"/>
  <c r="B21" i="253"/>
  <c r="M20" i="253"/>
  <c r="F20" i="253"/>
  <c r="B20" i="253"/>
  <c r="F19" i="253"/>
  <c r="B19" i="253"/>
  <c r="F18" i="253"/>
  <c r="B18" i="253"/>
  <c r="F17" i="253"/>
  <c r="B17" i="253"/>
  <c r="F16" i="253"/>
  <c r="B16" i="253"/>
  <c r="S15" i="253"/>
  <c r="F15" i="253"/>
  <c r="B15" i="253"/>
  <c r="S14" i="253"/>
  <c r="K14" i="253"/>
  <c r="H26" i="253" s="1"/>
  <c r="F14" i="253"/>
  <c r="T14" i="253" s="1"/>
  <c r="B14" i="253"/>
  <c r="S13" i="253"/>
  <c r="F13" i="253"/>
  <c r="T13" i="253" s="1"/>
  <c r="B13" i="253"/>
  <c r="S12" i="253"/>
  <c r="F12" i="253"/>
  <c r="B12" i="253"/>
  <c r="T11" i="253"/>
  <c r="S11" i="253"/>
  <c r="F11" i="253"/>
  <c r="B11" i="253"/>
  <c r="S10" i="253"/>
  <c r="M10" i="253"/>
  <c r="L13" i="253" s="1"/>
  <c r="M13" i="253" s="1"/>
  <c r="F10" i="253"/>
  <c r="T10" i="253" s="1"/>
  <c r="B10" i="253"/>
  <c r="T9" i="253"/>
  <c r="S9" i="253"/>
  <c r="F9" i="253"/>
  <c r="B9" i="253"/>
  <c r="S8" i="253"/>
  <c r="F8" i="253"/>
  <c r="T8" i="253" s="1"/>
  <c r="B8" i="253"/>
  <c r="A8" i="253"/>
  <c r="A9" i="253" s="1"/>
  <c r="A10" i="253" s="1"/>
  <c r="A11" i="253" s="1"/>
  <c r="A12" i="253" s="1"/>
  <c r="A13" i="253" s="1"/>
  <c r="A14" i="253" s="1"/>
  <c r="A15" i="253" s="1"/>
  <c r="A16" i="253" s="1"/>
  <c r="A17" i="253" s="1"/>
  <c r="A18" i="253" s="1"/>
  <c r="A19" i="253" s="1"/>
  <c r="A20" i="253" s="1"/>
  <c r="A21" i="253" s="1"/>
  <c r="F7" i="253"/>
  <c r="G8" i="253" s="1"/>
  <c r="E4" i="253"/>
  <c r="H23" i="252"/>
  <c r="H34" i="252" s="1"/>
  <c r="H21" i="252"/>
  <c r="M20" i="252"/>
  <c r="M21" i="252" s="1"/>
  <c r="F20" i="252"/>
  <c r="G20" i="252" s="1"/>
  <c r="B20" i="252"/>
  <c r="F19" i="252"/>
  <c r="G19" i="252" s="1"/>
  <c r="B19" i="252"/>
  <c r="F18" i="252"/>
  <c r="B18" i="252"/>
  <c r="G17" i="252"/>
  <c r="F17" i="252"/>
  <c r="B17" i="252"/>
  <c r="F16" i="252"/>
  <c r="G16" i="252" s="1"/>
  <c r="B16" i="252"/>
  <c r="S15" i="252"/>
  <c r="F15" i="252"/>
  <c r="T15" i="252" s="1"/>
  <c r="B15" i="252"/>
  <c r="S14" i="252"/>
  <c r="K14" i="252"/>
  <c r="H28" i="252" s="1"/>
  <c r="F14" i="252"/>
  <c r="G14" i="252" s="1"/>
  <c r="B14" i="252"/>
  <c r="S13" i="252"/>
  <c r="F13" i="252"/>
  <c r="T13" i="252" s="1"/>
  <c r="B13" i="252"/>
  <c r="S12" i="252"/>
  <c r="F12" i="252"/>
  <c r="T12" i="252" s="1"/>
  <c r="B12" i="252"/>
  <c r="S11" i="252"/>
  <c r="F11" i="252"/>
  <c r="G11" i="252" s="1"/>
  <c r="B11" i="252"/>
  <c r="S10" i="252"/>
  <c r="M10" i="252"/>
  <c r="L13" i="252" s="1"/>
  <c r="M13" i="252" s="1"/>
  <c r="F10" i="252"/>
  <c r="T10" i="252" s="1"/>
  <c r="B10" i="252"/>
  <c r="S9" i="252"/>
  <c r="F9" i="252"/>
  <c r="B9" i="252"/>
  <c r="T8" i="252"/>
  <c r="S8" i="252"/>
  <c r="F8" i="252"/>
  <c r="B8" i="252"/>
  <c r="A8" i="252"/>
  <c r="A9" i="252" s="1"/>
  <c r="A10" i="252" s="1"/>
  <c r="A11" i="252" s="1"/>
  <c r="A12" i="252" s="1"/>
  <c r="A13" i="252" s="1"/>
  <c r="A14" i="252" s="1"/>
  <c r="A15" i="252" s="1"/>
  <c r="A16" i="252" s="1"/>
  <c r="A17" i="252" s="1"/>
  <c r="A18" i="252" s="1"/>
  <c r="A19" i="252" s="1"/>
  <c r="A20" i="252" s="1"/>
  <c r="A21" i="252" s="1"/>
  <c r="F7" i="252"/>
  <c r="E4" i="252"/>
  <c r="D14" i="122"/>
  <c r="F14" i="122" s="1"/>
  <c r="D13" i="122"/>
  <c r="F13" i="122" s="1"/>
  <c r="D11" i="122"/>
  <c r="D12" i="122"/>
  <c r="F12" i="122" s="1"/>
  <c r="G3" i="251"/>
  <c r="G2" i="251"/>
  <c r="F22" i="251"/>
  <c r="B22" i="251"/>
  <c r="H21" i="251"/>
  <c r="F21" i="251"/>
  <c r="B21" i="251"/>
  <c r="M20" i="251"/>
  <c r="M21" i="251" s="1"/>
  <c r="F20" i="251"/>
  <c r="G20" i="251" s="1"/>
  <c r="B20" i="251"/>
  <c r="F19" i="251"/>
  <c r="B19" i="251"/>
  <c r="F18" i="251"/>
  <c r="G18" i="251" s="1"/>
  <c r="B18" i="251"/>
  <c r="F17" i="251"/>
  <c r="B17" i="251"/>
  <c r="F16" i="251"/>
  <c r="G16" i="251" s="1"/>
  <c r="B16" i="251"/>
  <c r="T15" i="251"/>
  <c r="S15" i="251"/>
  <c r="F15" i="251"/>
  <c r="B15" i="251"/>
  <c r="S14" i="251"/>
  <c r="K14" i="251"/>
  <c r="H28" i="251" s="1"/>
  <c r="F14" i="251"/>
  <c r="B14" i="251"/>
  <c r="S13" i="251"/>
  <c r="F13" i="251"/>
  <c r="T13" i="251" s="1"/>
  <c r="B13" i="251"/>
  <c r="S12" i="251"/>
  <c r="F12" i="251"/>
  <c r="G12" i="251" s="1"/>
  <c r="B12" i="251"/>
  <c r="T11" i="251"/>
  <c r="S11" i="251"/>
  <c r="F11" i="251"/>
  <c r="B11" i="251"/>
  <c r="S10" i="251"/>
  <c r="M10" i="251"/>
  <c r="L13" i="251" s="1"/>
  <c r="M13" i="251" s="1"/>
  <c r="F10" i="251"/>
  <c r="B10" i="251"/>
  <c r="S9" i="251"/>
  <c r="F9" i="251"/>
  <c r="T9" i="251" s="1"/>
  <c r="B9" i="251"/>
  <c r="S8" i="251"/>
  <c r="F8" i="251"/>
  <c r="T8" i="251" s="1"/>
  <c r="B8" i="251"/>
  <c r="A8" i="251"/>
  <c r="A9" i="251" s="1"/>
  <c r="A10" i="251" s="1"/>
  <c r="A11" i="251" s="1"/>
  <c r="A12" i="251" s="1"/>
  <c r="A13" i="251" s="1"/>
  <c r="A14" i="251" s="1"/>
  <c r="A15" i="251" s="1"/>
  <c r="A16" i="251" s="1"/>
  <c r="A17" i="251" s="1"/>
  <c r="A18" i="251" s="1"/>
  <c r="A19" i="251" s="1"/>
  <c r="A20" i="251" s="1"/>
  <c r="A21" i="251" s="1"/>
  <c r="A22" i="251" s="1"/>
  <c r="F7" i="251"/>
  <c r="G19" i="251" s="1"/>
  <c r="E4" i="251"/>
  <c r="G3" i="250"/>
  <c r="G2" i="250"/>
  <c r="H21" i="250"/>
  <c r="F21" i="250"/>
  <c r="B21" i="250"/>
  <c r="M20" i="250"/>
  <c r="M21" i="250" s="1"/>
  <c r="G20" i="250"/>
  <c r="F20" i="250"/>
  <c r="B20" i="250"/>
  <c r="F19" i="250"/>
  <c r="G19" i="250" s="1"/>
  <c r="B19" i="250"/>
  <c r="F18" i="250"/>
  <c r="G18" i="250" s="1"/>
  <c r="B18" i="250"/>
  <c r="F17" i="250"/>
  <c r="G17" i="250" s="1"/>
  <c r="B17" i="250"/>
  <c r="G16" i="250"/>
  <c r="F16" i="250"/>
  <c r="B16" i="250"/>
  <c r="S15" i="250"/>
  <c r="F15" i="250"/>
  <c r="G15" i="250" s="1"/>
  <c r="B15" i="250"/>
  <c r="S14" i="250"/>
  <c r="K14" i="250"/>
  <c r="H28" i="250" s="1"/>
  <c r="G14" i="250"/>
  <c r="F14" i="250"/>
  <c r="T14" i="250" s="1"/>
  <c r="B14" i="250"/>
  <c r="S13" i="250"/>
  <c r="F13" i="250"/>
  <c r="T13" i="250" s="1"/>
  <c r="B13" i="250"/>
  <c r="T12" i="250"/>
  <c r="S12" i="250"/>
  <c r="G12" i="250"/>
  <c r="F12" i="250"/>
  <c r="B12" i="250"/>
  <c r="S11" i="250"/>
  <c r="F11" i="250"/>
  <c r="G11" i="250" s="1"/>
  <c r="B11" i="250"/>
  <c r="S10" i="250"/>
  <c r="M10" i="250"/>
  <c r="L13" i="250" s="1"/>
  <c r="M13" i="250" s="1"/>
  <c r="F10" i="250"/>
  <c r="G10" i="250" s="1"/>
  <c r="B10" i="250"/>
  <c r="S9" i="250"/>
  <c r="F9" i="250"/>
  <c r="T9" i="250" s="1"/>
  <c r="B9" i="250"/>
  <c r="S8" i="250"/>
  <c r="F8" i="250"/>
  <c r="G8" i="250" s="1"/>
  <c r="B8" i="250"/>
  <c r="A8" i="250"/>
  <c r="A9" i="250" s="1"/>
  <c r="A10" i="250" s="1"/>
  <c r="A11" i="250" s="1"/>
  <c r="A12" i="250" s="1"/>
  <c r="A13" i="250" s="1"/>
  <c r="A14" i="250" s="1"/>
  <c r="A15" i="250" s="1"/>
  <c r="A16" i="250" s="1"/>
  <c r="A17" i="250" s="1"/>
  <c r="A18" i="250" s="1"/>
  <c r="A19" i="250" s="1"/>
  <c r="A20" i="250" s="1"/>
  <c r="A21" i="250" s="1"/>
  <c r="F7" i="250"/>
  <c r="E4" i="250"/>
  <c r="G3" i="249"/>
  <c r="G2" i="249"/>
  <c r="H21" i="249"/>
  <c r="F21" i="249"/>
  <c r="B21" i="249"/>
  <c r="M20" i="249"/>
  <c r="M21" i="249" s="1"/>
  <c r="F20" i="249"/>
  <c r="B20" i="249"/>
  <c r="F19" i="249"/>
  <c r="G19" i="249" s="1"/>
  <c r="B19" i="249"/>
  <c r="F18" i="249"/>
  <c r="B18" i="249"/>
  <c r="F17" i="249"/>
  <c r="G17" i="249" s="1"/>
  <c r="B17" i="249"/>
  <c r="F16" i="249"/>
  <c r="B16" i="249"/>
  <c r="S15" i="249"/>
  <c r="F15" i="249"/>
  <c r="B15" i="249"/>
  <c r="S14" i="249"/>
  <c r="K14" i="249"/>
  <c r="H28" i="249" s="1"/>
  <c r="F14" i="249"/>
  <c r="T14" i="249" s="1"/>
  <c r="B14" i="249"/>
  <c r="T13" i="249"/>
  <c r="S13" i="249"/>
  <c r="F13" i="249"/>
  <c r="B13" i="249"/>
  <c r="S12" i="249"/>
  <c r="F12" i="249"/>
  <c r="G12" i="249" s="1"/>
  <c r="B12" i="249"/>
  <c r="T11" i="249"/>
  <c r="S11" i="249"/>
  <c r="F11" i="249"/>
  <c r="B11" i="249"/>
  <c r="S10" i="249"/>
  <c r="M10" i="249"/>
  <c r="L13" i="249" s="1"/>
  <c r="M13" i="249" s="1"/>
  <c r="F10" i="249"/>
  <c r="B10" i="249"/>
  <c r="S9" i="249"/>
  <c r="F9" i="249"/>
  <c r="T9" i="249" s="1"/>
  <c r="B9" i="249"/>
  <c r="S8" i="249"/>
  <c r="F8" i="249"/>
  <c r="B8" i="249"/>
  <c r="A8" i="249"/>
  <c r="A9" i="249" s="1"/>
  <c r="A10" i="249" s="1"/>
  <c r="A11" i="249" s="1"/>
  <c r="A12" i="249" s="1"/>
  <c r="A13" i="249" s="1"/>
  <c r="A14" i="249" s="1"/>
  <c r="A15" i="249" s="1"/>
  <c r="A16" i="249" s="1"/>
  <c r="A17" i="249" s="1"/>
  <c r="A18" i="249" s="1"/>
  <c r="A19" i="249" s="1"/>
  <c r="A20" i="249" s="1"/>
  <c r="A21" i="249" s="1"/>
  <c r="F7" i="249"/>
  <c r="G20" i="249" s="1"/>
  <c r="E4" i="249"/>
  <c r="G3" i="248"/>
  <c r="G2" i="248"/>
  <c r="H21" i="248"/>
  <c r="F21" i="248"/>
  <c r="B21" i="248"/>
  <c r="M20" i="248"/>
  <c r="M21" i="248" s="1"/>
  <c r="F20" i="248"/>
  <c r="G20" i="248" s="1"/>
  <c r="B20" i="248"/>
  <c r="F19" i="248"/>
  <c r="G19" i="248" s="1"/>
  <c r="B19" i="248"/>
  <c r="G18" i="248"/>
  <c r="F18" i="248"/>
  <c r="B18" i="248"/>
  <c r="F17" i="248"/>
  <c r="G17" i="248" s="1"/>
  <c r="B17" i="248"/>
  <c r="F16" i="248"/>
  <c r="G16" i="248" s="1"/>
  <c r="B16" i="248"/>
  <c r="S15" i="248"/>
  <c r="F15" i="248"/>
  <c r="T15" i="248" s="1"/>
  <c r="B15" i="248"/>
  <c r="S14" i="248"/>
  <c r="K14" i="248"/>
  <c r="H28" i="248" s="1"/>
  <c r="F14" i="248"/>
  <c r="T14" i="248" s="1"/>
  <c r="B14" i="248"/>
  <c r="S13" i="248"/>
  <c r="F13" i="248"/>
  <c r="T13" i="248" s="1"/>
  <c r="B13" i="248"/>
  <c r="T12" i="248"/>
  <c r="S12" i="248"/>
  <c r="G12" i="248"/>
  <c r="F12" i="248"/>
  <c r="B12" i="248"/>
  <c r="T11" i="248"/>
  <c r="S11" i="248"/>
  <c r="F11" i="248"/>
  <c r="G11" i="248" s="1"/>
  <c r="B11" i="248"/>
  <c r="S10" i="248"/>
  <c r="M10" i="248"/>
  <c r="L13" i="248" s="1"/>
  <c r="M13" i="248" s="1"/>
  <c r="F10" i="248"/>
  <c r="B10" i="248"/>
  <c r="S9" i="248"/>
  <c r="F9" i="248"/>
  <c r="T9" i="248" s="1"/>
  <c r="B9" i="248"/>
  <c r="S8" i="248"/>
  <c r="F8" i="248"/>
  <c r="G8" i="248" s="1"/>
  <c r="B8" i="248"/>
  <c r="A8" i="248"/>
  <c r="A9" i="248" s="1"/>
  <c r="A10" i="248" s="1"/>
  <c r="A11" i="248" s="1"/>
  <c r="A12" i="248" s="1"/>
  <c r="A13" i="248" s="1"/>
  <c r="A14" i="248" s="1"/>
  <c r="A15" i="248" s="1"/>
  <c r="A16" i="248" s="1"/>
  <c r="A17" i="248" s="1"/>
  <c r="A18" i="248" s="1"/>
  <c r="A19" i="248" s="1"/>
  <c r="A20" i="248" s="1"/>
  <c r="A21" i="248" s="1"/>
  <c r="F7" i="248"/>
  <c r="E4" i="248"/>
  <c r="G2" i="247"/>
  <c r="G3" i="247"/>
  <c r="H21" i="247"/>
  <c r="F21" i="247"/>
  <c r="B21" i="247"/>
  <c r="M20" i="247"/>
  <c r="M21" i="247" s="1"/>
  <c r="F20" i="247"/>
  <c r="G20" i="247" s="1"/>
  <c r="B20" i="247"/>
  <c r="G19" i="247"/>
  <c r="F19" i="247"/>
  <c r="B19" i="247"/>
  <c r="F18" i="247"/>
  <c r="G18" i="247" s="1"/>
  <c r="B18" i="247"/>
  <c r="F17" i="247"/>
  <c r="G17" i="247" s="1"/>
  <c r="B17" i="247"/>
  <c r="F16" i="247"/>
  <c r="B16" i="247"/>
  <c r="S15" i="247"/>
  <c r="F15" i="247"/>
  <c r="B15" i="247"/>
  <c r="S14" i="247"/>
  <c r="K14" i="247"/>
  <c r="H28" i="247" s="1"/>
  <c r="F14" i="247"/>
  <c r="T14" i="247" s="1"/>
  <c r="B14" i="247"/>
  <c r="T13" i="247"/>
  <c r="S13" i="247"/>
  <c r="F13" i="247"/>
  <c r="G13" i="247" s="1"/>
  <c r="B13" i="247"/>
  <c r="S12" i="247"/>
  <c r="F12" i="247"/>
  <c r="T12" i="247" s="1"/>
  <c r="B12" i="247"/>
  <c r="S11" i="247"/>
  <c r="G11" i="247"/>
  <c r="F11" i="247"/>
  <c r="T11" i="247" s="1"/>
  <c r="B11" i="247"/>
  <c r="S10" i="247"/>
  <c r="M10" i="247"/>
  <c r="L13" i="247" s="1"/>
  <c r="M13" i="247" s="1"/>
  <c r="F10" i="247"/>
  <c r="G10" i="247" s="1"/>
  <c r="B10" i="247"/>
  <c r="S9" i="247"/>
  <c r="F9" i="247"/>
  <c r="T9" i="247" s="1"/>
  <c r="B9" i="247"/>
  <c r="S8" i="247"/>
  <c r="F8" i="247"/>
  <c r="G8" i="247" s="1"/>
  <c r="B8" i="247"/>
  <c r="A8" i="247"/>
  <c r="A9" i="247" s="1"/>
  <c r="A10" i="247" s="1"/>
  <c r="A11" i="247" s="1"/>
  <c r="A12" i="247" s="1"/>
  <c r="A13" i="247" s="1"/>
  <c r="A14" i="247" s="1"/>
  <c r="A15" i="247" s="1"/>
  <c r="A16" i="247" s="1"/>
  <c r="A17" i="247" s="1"/>
  <c r="A18" i="247" s="1"/>
  <c r="A19" i="247" s="1"/>
  <c r="A20" i="247" s="1"/>
  <c r="A21" i="247" s="1"/>
  <c r="F7" i="247"/>
  <c r="G16" i="247" s="1"/>
  <c r="E4" i="247"/>
  <c r="G3" i="246"/>
  <c r="G2" i="246"/>
  <c r="H23" i="246"/>
  <c r="H34" i="246" s="1"/>
  <c r="H21" i="246"/>
  <c r="B21" i="246"/>
  <c r="M20" i="246"/>
  <c r="M21" i="246" s="1"/>
  <c r="B20" i="246"/>
  <c r="B19" i="246"/>
  <c r="B18" i="246"/>
  <c r="B17" i="246"/>
  <c r="B16" i="246"/>
  <c r="B15" i="246"/>
  <c r="K14" i="246"/>
  <c r="H28" i="246" s="1"/>
  <c r="B14" i="246"/>
  <c r="B13" i="246"/>
  <c r="B12" i="246"/>
  <c r="B11" i="246"/>
  <c r="M10" i="246"/>
  <c r="L13" i="246" s="1"/>
  <c r="M13" i="246" s="1"/>
  <c r="B10" i="246"/>
  <c r="B9" i="246"/>
  <c r="S8" i="246"/>
  <c r="B8" i="246"/>
  <c r="A8" i="246"/>
  <c r="A9" i="246" s="1"/>
  <c r="A10" i="246" s="1"/>
  <c r="A11" i="246" s="1"/>
  <c r="A12" i="246" s="1"/>
  <c r="A13" i="246" s="1"/>
  <c r="A14" i="246" s="1"/>
  <c r="A15" i="246" s="1"/>
  <c r="A16" i="246" s="1"/>
  <c r="A17" i="246" s="1"/>
  <c r="A18" i="246" s="1"/>
  <c r="A19" i="246" s="1"/>
  <c r="A20" i="246" s="1"/>
  <c r="A21" i="246" s="1"/>
  <c r="F7" i="246"/>
  <c r="E4" i="246"/>
  <c r="G3" i="245"/>
  <c r="G2" i="245"/>
  <c r="H21" i="245"/>
  <c r="B21" i="245"/>
  <c r="M20" i="245"/>
  <c r="M21" i="245" s="1"/>
  <c r="B20" i="245"/>
  <c r="B19" i="245"/>
  <c r="B18" i="245"/>
  <c r="B17" i="245"/>
  <c r="B16" i="245"/>
  <c r="B15" i="245"/>
  <c r="K14" i="245"/>
  <c r="H28" i="245" s="1"/>
  <c r="B14" i="245"/>
  <c r="B13" i="245"/>
  <c r="B12" i="245"/>
  <c r="B11" i="245"/>
  <c r="M10" i="245"/>
  <c r="L13" i="245" s="1"/>
  <c r="M13" i="245" s="1"/>
  <c r="B10" i="245"/>
  <c r="B9" i="245"/>
  <c r="S8" i="245"/>
  <c r="B8" i="245"/>
  <c r="A8" i="245"/>
  <c r="A9" i="245" s="1"/>
  <c r="A10" i="245" s="1"/>
  <c r="A11" i="245" s="1"/>
  <c r="A12" i="245" s="1"/>
  <c r="A13" i="245" s="1"/>
  <c r="A14" i="245" s="1"/>
  <c r="A15" i="245" s="1"/>
  <c r="A16" i="245" s="1"/>
  <c r="A17" i="245" s="1"/>
  <c r="A18" i="245" s="1"/>
  <c r="A19" i="245" s="1"/>
  <c r="A20" i="245" s="1"/>
  <c r="A21" i="245" s="1"/>
  <c r="F7" i="245"/>
  <c r="E4" i="245"/>
  <c r="G3" i="244"/>
  <c r="G2" i="244"/>
  <c r="H23" i="244"/>
  <c r="H34" i="244" s="1"/>
  <c r="F22" i="244"/>
  <c r="B22" i="244"/>
  <c r="H21" i="244"/>
  <c r="F21" i="244"/>
  <c r="G21" i="244" s="1"/>
  <c r="B21" i="244"/>
  <c r="M20" i="244"/>
  <c r="M21" i="244" s="1"/>
  <c r="F20" i="244"/>
  <c r="G20" i="244" s="1"/>
  <c r="B20" i="244"/>
  <c r="F19" i="244"/>
  <c r="G19" i="244" s="1"/>
  <c r="B19" i="244"/>
  <c r="F18" i="244"/>
  <c r="B18" i="244"/>
  <c r="F17" i="244"/>
  <c r="B17" i="244"/>
  <c r="F16" i="244"/>
  <c r="G16" i="244" s="1"/>
  <c r="B16" i="244"/>
  <c r="S15" i="244"/>
  <c r="F15" i="244"/>
  <c r="B15" i="244"/>
  <c r="S14" i="244"/>
  <c r="K14" i="244"/>
  <c r="H28" i="244" s="1"/>
  <c r="F14" i="244"/>
  <c r="T14" i="244" s="1"/>
  <c r="B14" i="244"/>
  <c r="S13" i="244"/>
  <c r="F13" i="244"/>
  <c r="T13" i="244" s="1"/>
  <c r="B13" i="244"/>
  <c r="T12" i="244"/>
  <c r="S12" i="244"/>
  <c r="F12" i="244"/>
  <c r="B12" i="244"/>
  <c r="T11" i="244"/>
  <c r="S11" i="244"/>
  <c r="F11" i="244"/>
  <c r="G11" i="244" s="1"/>
  <c r="B11" i="244"/>
  <c r="S10" i="244"/>
  <c r="M10" i="244"/>
  <c r="L13" i="244" s="1"/>
  <c r="M13" i="244" s="1"/>
  <c r="F10" i="244"/>
  <c r="B10" i="244"/>
  <c r="S9" i="244"/>
  <c r="F9" i="244"/>
  <c r="T9" i="244" s="1"/>
  <c r="B9" i="244"/>
  <c r="S8" i="244"/>
  <c r="F8" i="244"/>
  <c r="B8" i="244"/>
  <c r="A8" i="244"/>
  <c r="A9" i="244" s="1"/>
  <c r="A10" i="244" s="1"/>
  <c r="A11" i="244" s="1"/>
  <c r="A12" i="244" s="1"/>
  <c r="A13" i="244" s="1"/>
  <c r="A14" i="244" s="1"/>
  <c r="A15" i="244" s="1"/>
  <c r="A16" i="244" s="1"/>
  <c r="A17" i="244" s="1"/>
  <c r="A18" i="244" s="1"/>
  <c r="A19" i="244" s="1"/>
  <c r="A20" i="244" s="1"/>
  <c r="A21" i="244" s="1"/>
  <c r="A22" i="244" s="1"/>
  <c r="F7" i="244"/>
  <c r="G18" i="244" s="1"/>
  <c r="E4" i="244"/>
  <c r="G15" i="260" l="1"/>
  <c r="G16" i="260"/>
  <c r="G17" i="260"/>
  <c r="G20" i="260"/>
  <c r="G19" i="260"/>
  <c r="G21" i="260"/>
  <c r="G9" i="260"/>
  <c r="G12" i="260"/>
  <c r="G12" i="261"/>
  <c r="G17" i="261"/>
  <c r="G19" i="261"/>
  <c r="G10" i="262"/>
  <c r="G12" i="262"/>
  <c r="G14" i="262"/>
  <c r="G16" i="262"/>
  <c r="D30" i="122"/>
  <c r="F30" i="122" s="1"/>
  <c r="D29" i="122"/>
  <c r="F29" i="122" s="1"/>
  <c r="K15" i="262"/>
  <c r="G11" i="260"/>
  <c r="G13" i="260"/>
  <c r="G14" i="260"/>
  <c r="K15" i="260"/>
  <c r="H28" i="260"/>
  <c r="G9" i="261"/>
  <c r="G15" i="261"/>
  <c r="G21" i="261"/>
  <c r="H26" i="261"/>
  <c r="G17" i="262"/>
  <c r="G18" i="262"/>
  <c r="G19" i="262"/>
  <c r="H23" i="262"/>
  <c r="H34" i="262" s="1"/>
  <c r="G8" i="260"/>
  <c r="T9" i="260"/>
  <c r="G10" i="260"/>
  <c r="G11" i="261"/>
  <c r="T12" i="261"/>
  <c r="G13" i="261"/>
  <c r="G14" i="261"/>
  <c r="K15" i="261"/>
  <c r="H28" i="261"/>
  <c r="T8" i="262"/>
  <c r="H26" i="262"/>
  <c r="T15" i="260"/>
  <c r="G8" i="261"/>
  <c r="G10" i="261"/>
  <c r="T10" i="262"/>
  <c r="G20" i="256"/>
  <c r="G11" i="256"/>
  <c r="G16" i="256"/>
  <c r="G18" i="256"/>
  <c r="G22" i="256"/>
  <c r="G21" i="256"/>
  <c r="G14" i="256"/>
  <c r="G17" i="256"/>
  <c r="G19" i="256"/>
  <c r="D27" i="122"/>
  <c r="F27" i="122" s="1"/>
  <c r="G17" i="257"/>
  <c r="G19" i="257"/>
  <c r="T11" i="257"/>
  <c r="G13" i="257"/>
  <c r="G21" i="257"/>
  <c r="G9" i="257"/>
  <c r="H23" i="257"/>
  <c r="H34" i="257" s="1"/>
  <c r="H28" i="257"/>
  <c r="D26" i="122"/>
  <c r="F26" i="122" s="1"/>
  <c r="K15" i="257"/>
  <c r="G21" i="258"/>
  <c r="G10" i="258"/>
  <c r="G16" i="258"/>
  <c r="G18" i="258"/>
  <c r="G20" i="258"/>
  <c r="G14" i="258"/>
  <c r="G12" i="258"/>
  <c r="G15" i="258"/>
  <c r="G9" i="258"/>
  <c r="G17" i="258"/>
  <c r="G19" i="258"/>
  <c r="H26" i="258"/>
  <c r="D25" i="122"/>
  <c r="F25" i="122" s="1"/>
  <c r="G12" i="259"/>
  <c r="G13" i="259"/>
  <c r="G17" i="259"/>
  <c r="G21" i="259"/>
  <c r="G15" i="259"/>
  <c r="K15" i="259"/>
  <c r="H23" i="259"/>
  <c r="H34" i="259" s="1"/>
  <c r="G10" i="256"/>
  <c r="T10" i="257"/>
  <c r="T14" i="258"/>
  <c r="T15" i="259"/>
  <c r="T11" i="256"/>
  <c r="G12" i="256"/>
  <c r="H23" i="256"/>
  <c r="H34" i="256" s="1"/>
  <c r="G8" i="257"/>
  <c r="T9" i="257"/>
  <c r="G11" i="258"/>
  <c r="T12" i="258"/>
  <c r="G13" i="258"/>
  <c r="K15" i="258"/>
  <c r="H28" i="258"/>
  <c r="T8" i="259"/>
  <c r="G9" i="259"/>
  <c r="H26" i="259"/>
  <c r="G8" i="256"/>
  <c r="G9" i="256"/>
  <c r="T14" i="256"/>
  <c r="G15" i="256"/>
  <c r="H26" i="256"/>
  <c r="T15" i="257"/>
  <c r="G8" i="258"/>
  <c r="T10" i="259"/>
  <c r="G13" i="256"/>
  <c r="K15" i="256"/>
  <c r="G9" i="252"/>
  <c r="G12" i="252"/>
  <c r="T11" i="252"/>
  <c r="T14" i="252"/>
  <c r="G18" i="252"/>
  <c r="H26" i="252"/>
  <c r="D23" i="122"/>
  <c r="F23" i="122" s="1"/>
  <c r="G15" i="253"/>
  <c r="G9" i="253"/>
  <c r="G12" i="253"/>
  <c r="G17" i="253"/>
  <c r="G19" i="253"/>
  <c r="G21" i="253"/>
  <c r="G16" i="253"/>
  <c r="G18" i="253"/>
  <c r="G20" i="253"/>
  <c r="D22" i="122"/>
  <c r="F22" i="122" s="1"/>
  <c r="G11" i="254"/>
  <c r="G13" i="254"/>
  <c r="G21" i="254"/>
  <c r="T12" i="254"/>
  <c r="G14" i="254"/>
  <c r="G17" i="254"/>
  <c r="G19" i="254"/>
  <c r="K15" i="254"/>
  <c r="D21" i="122"/>
  <c r="F21" i="122" s="1"/>
  <c r="G8" i="255"/>
  <c r="G12" i="255"/>
  <c r="G13" i="255"/>
  <c r="G21" i="255"/>
  <c r="G10" i="255"/>
  <c r="G14" i="255"/>
  <c r="G15" i="255"/>
  <c r="K15" i="255"/>
  <c r="H23" i="255"/>
  <c r="H34" i="255" s="1"/>
  <c r="G10" i="253"/>
  <c r="G8" i="252"/>
  <c r="T9" i="252"/>
  <c r="G10" i="252"/>
  <c r="G11" i="253"/>
  <c r="T12" i="253"/>
  <c r="G13" i="253"/>
  <c r="G14" i="253"/>
  <c r="K15" i="253"/>
  <c r="H28" i="253"/>
  <c r="T8" i="254"/>
  <c r="G9" i="254"/>
  <c r="G15" i="254"/>
  <c r="H26" i="254"/>
  <c r="T15" i="255"/>
  <c r="H28" i="254"/>
  <c r="T8" i="255"/>
  <c r="G9" i="255"/>
  <c r="H26" i="255"/>
  <c r="G15" i="252"/>
  <c r="T15" i="253"/>
  <c r="H23" i="253"/>
  <c r="H34" i="253" s="1"/>
  <c r="G10" i="254"/>
  <c r="T10" i="255"/>
  <c r="G13" i="252"/>
  <c r="K15" i="252"/>
  <c r="T12" i="251"/>
  <c r="G22" i="251"/>
  <c r="G10" i="251"/>
  <c r="G11" i="251"/>
  <c r="G14" i="251"/>
  <c r="G15" i="251"/>
  <c r="G17" i="251"/>
  <c r="G21" i="251"/>
  <c r="G8" i="251"/>
  <c r="H26" i="251"/>
  <c r="K15" i="251"/>
  <c r="H23" i="251"/>
  <c r="H34" i="251" s="1"/>
  <c r="D19" i="122"/>
  <c r="F19" i="122" s="1"/>
  <c r="T11" i="250"/>
  <c r="G13" i="250"/>
  <c r="G21" i="250"/>
  <c r="H23" i="250"/>
  <c r="H34" i="250" s="1"/>
  <c r="D18" i="122"/>
  <c r="F18" i="122" s="1"/>
  <c r="K15" i="250"/>
  <c r="G18" i="249"/>
  <c r="G10" i="249"/>
  <c r="T12" i="249"/>
  <c r="G14" i="249"/>
  <c r="G15" i="249"/>
  <c r="G21" i="249"/>
  <c r="G13" i="249"/>
  <c r="G11" i="249"/>
  <c r="G16" i="249"/>
  <c r="G8" i="249"/>
  <c r="T15" i="249"/>
  <c r="D17" i="122"/>
  <c r="F17" i="122" s="1"/>
  <c r="K15" i="249"/>
  <c r="H23" i="249"/>
  <c r="H34" i="249" s="1"/>
  <c r="G13" i="248"/>
  <c r="G21" i="248"/>
  <c r="G10" i="248"/>
  <c r="G14" i="248"/>
  <c r="D16" i="122"/>
  <c r="F16" i="122" s="1"/>
  <c r="K15" i="248"/>
  <c r="H23" i="248"/>
  <c r="H34" i="248" s="1"/>
  <c r="G12" i="247"/>
  <c r="G21" i="247"/>
  <c r="G14" i="247"/>
  <c r="G15" i="247"/>
  <c r="H23" i="247"/>
  <c r="H34" i="247" s="1"/>
  <c r="K15" i="247"/>
  <c r="D15" i="122"/>
  <c r="F15" i="122" s="1"/>
  <c r="S9" i="246"/>
  <c r="K15" i="246"/>
  <c r="S9" i="245"/>
  <c r="K15" i="245"/>
  <c r="H23" i="245"/>
  <c r="H34" i="245" s="1"/>
  <c r="G17" i="244"/>
  <c r="G10" i="244"/>
  <c r="G14" i="244"/>
  <c r="G15" i="244"/>
  <c r="G13" i="244"/>
  <c r="G8" i="244"/>
  <c r="G12" i="244"/>
  <c r="G22" i="244"/>
  <c r="K15" i="244"/>
  <c r="G9" i="251"/>
  <c r="T14" i="251"/>
  <c r="T10" i="251"/>
  <c r="G13" i="251"/>
  <c r="T15" i="250"/>
  <c r="T8" i="250"/>
  <c r="G9" i="250"/>
  <c r="H26" i="250"/>
  <c r="T10" i="250"/>
  <c r="T8" i="249"/>
  <c r="G9" i="249"/>
  <c r="H26" i="249"/>
  <c r="T10" i="249"/>
  <c r="T8" i="248"/>
  <c r="G9" i="248"/>
  <c r="G15" i="248"/>
  <c r="H26" i="248"/>
  <c r="T10" i="248"/>
  <c r="T15" i="247"/>
  <c r="T8" i="247"/>
  <c r="G9" i="247"/>
  <c r="H26" i="247"/>
  <c r="T10" i="247"/>
  <c r="H26" i="246"/>
  <c r="H26" i="245"/>
  <c r="T15" i="244"/>
  <c r="T8" i="244"/>
  <c r="G9" i="244"/>
  <c r="H26" i="244"/>
  <c r="T10" i="244"/>
  <c r="S10" i="246" l="1"/>
  <c r="S10" i="245"/>
  <c r="S11" i="246" l="1"/>
  <c r="S11" i="245"/>
  <c r="S12" i="246" l="1"/>
  <c r="S12" i="245"/>
  <c r="S13" i="246" l="1"/>
  <c r="S13" i="245"/>
  <c r="G3" i="239"/>
  <c r="G2" i="239"/>
  <c r="G3" i="238"/>
  <c r="G2" i="238"/>
  <c r="G3" i="243"/>
  <c r="G2" i="243"/>
  <c r="F22" i="243"/>
  <c r="B22" i="243"/>
  <c r="H21" i="243"/>
  <c r="F21" i="243"/>
  <c r="B21" i="243"/>
  <c r="M20" i="243"/>
  <c r="M21" i="243" s="1"/>
  <c r="F20" i="243"/>
  <c r="B20" i="243"/>
  <c r="F19" i="243"/>
  <c r="B19" i="243"/>
  <c r="F18" i="243"/>
  <c r="B18" i="243"/>
  <c r="F17" i="243"/>
  <c r="B17" i="243"/>
  <c r="F16" i="243"/>
  <c r="B16" i="243"/>
  <c r="S15" i="243"/>
  <c r="F15" i="243"/>
  <c r="T15" i="243" s="1"/>
  <c r="B15" i="243"/>
  <c r="S14" i="243"/>
  <c r="K14" i="243"/>
  <c r="K15" i="243" s="1"/>
  <c r="F14" i="243"/>
  <c r="T14" i="243" s="1"/>
  <c r="B14" i="243"/>
  <c r="S13" i="243"/>
  <c r="F13" i="243"/>
  <c r="T13" i="243" s="1"/>
  <c r="B13" i="243"/>
  <c r="S12" i="243"/>
  <c r="F12" i="243"/>
  <c r="T12" i="243" s="1"/>
  <c r="B12" i="243"/>
  <c r="S11" i="243"/>
  <c r="F11" i="243"/>
  <c r="T11" i="243" s="1"/>
  <c r="B11" i="243"/>
  <c r="S10" i="243"/>
  <c r="M10" i="243"/>
  <c r="L13" i="243" s="1"/>
  <c r="M13" i="243" s="1"/>
  <c r="F10" i="243"/>
  <c r="T10" i="243" s="1"/>
  <c r="B10" i="243"/>
  <c r="S9" i="243"/>
  <c r="F9" i="243"/>
  <c r="T9" i="243" s="1"/>
  <c r="B9" i="243"/>
  <c r="S8" i="243"/>
  <c r="F8" i="243"/>
  <c r="T8" i="243" s="1"/>
  <c r="B8" i="243"/>
  <c r="A8" i="243"/>
  <c r="A9" i="243" s="1"/>
  <c r="A10" i="243" s="1"/>
  <c r="A11" i="243" s="1"/>
  <c r="A12" i="243" s="1"/>
  <c r="A13" i="243" s="1"/>
  <c r="A14" i="243" s="1"/>
  <c r="A15" i="243" s="1"/>
  <c r="A16" i="243" s="1"/>
  <c r="A17" i="243" s="1"/>
  <c r="A18" i="243" s="1"/>
  <c r="A19" i="243" s="1"/>
  <c r="A20" i="243" s="1"/>
  <c r="A21" i="243" s="1"/>
  <c r="A22" i="243" s="1"/>
  <c r="F7" i="243"/>
  <c r="E4" i="243"/>
  <c r="D10" i="122"/>
  <c r="F10" i="122" s="1"/>
  <c r="G3" i="242"/>
  <c r="G2" i="242"/>
  <c r="B22" i="242"/>
  <c r="H21" i="242"/>
  <c r="B21" i="242"/>
  <c r="M20" i="242"/>
  <c r="M21" i="242" s="1"/>
  <c r="B20" i="242"/>
  <c r="B19" i="242"/>
  <c r="B18" i="242"/>
  <c r="B17" i="242"/>
  <c r="B16" i="242"/>
  <c r="B15" i="242"/>
  <c r="K14" i="242"/>
  <c r="K15" i="242" s="1"/>
  <c r="B14" i="242"/>
  <c r="B13" i="242"/>
  <c r="B12" i="242"/>
  <c r="B11" i="242"/>
  <c r="M10" i="242"/>
  <c r="L13" i="242" s="1"/>
  <c r="M13" i="242" s="1"/>
  <c r="B10" i="242"/>
  <c r="B9" i="242"/>
  <c r="S8" i="242"/>
  <c r="B8" i="242"/>
  <c r="A8" i="242"/>
  <c r="A9" i="242" s="1"/>
  <c r="A10" i="242" s="1"/>
  <c r="A11" i="242" s="1"/>
  <c r="A12" i="242" s="1"/>
  <c r="A13" i="242" s="1"/>
  <c r="A14" i="242" s="1"/>
  <c r="A15" i="242" s="1"/>
  <c r="A16" i="242" s="1"/>
  <c r="A17" i="242" s="1"/>
  <c r="A18" i="242" s="1"/>
  <c r="A19" i="242" s="1"/>
  <c r="A20" i="242" s="1"/>
  <c r="A21" i="242" s="1"/>
  <c r="A22" i="242" s="1"/>
  <c r="F7" i="242"/>
  <c r="E4" i="242"/>
  <c r="G3" i="240"/>
  <c r="G2" i="240"/>
  <c r="G3" i="241"/>
  <c r="G2" i="241"/>
  <c r="D9" i="122"/>
  <c r="F9" i="122" s="1"/>
  <c r="D8" i="122"/>
  <c r="F8" i="122" s="1"/>
  <c r="D6" i="122"/>
  <c r="F23" i="241"/>
  <c r="G23" i="241" s="1"/>
  <c r="B23" i="241"/>
  <c r="F22" i="241"/>
  <c r="G22" i="241" s="1"/>
  <c r="B22" i="241"/>
  <c r="M21" i="241"/>
  <c r="H21" i="241"/>
  <c r="F21" i="241"/>
  <c r="B21" i="241"/>
  <c r="M20" i="241"/>
  <c r="F20" i="241"/>
  <c r="G20" i="241" s="1"/>
  <c r="B20" i="241"/>
  <c r="F19" i="241"/>
  <c r="G19" i="241" s="1"/>
  <c r="B19" i="241"/>
  <c r="F18" i="241"/>
  <c r="G18" i="241" s="1"/>
  <c r="B18" i="241"/>
  <c r="F17" i="241"/>
  <c r="G17" i="241" s="1"/>
  <c r="B17" i="241"/>
  <c r="F16" i="241"/>
  <c r="G16" i="241" s="1"/>
  <c r="B16" i="241"/>
  <c r="S15" i="241"/>
  <c r="K15" i="241"/>
  <c r="F15" i="241"/>
  <c r="T15" i="241" s="1"/>
  <c r="B15" i="241"/>
  <c r="S14" i="241"/>
  <c r="K14" i="241"/>
  <c r="H28" i="241" s="1"/>
  <c r="F14" i="241"/>
  <c r="G14" i="241" s="1"/>
  <c r="B14" i="241"/>
  <c r="S13" i="241"/>
  <c r="F13" i="241"/>
  <c r="T13" i="241" s="1"/>
  <c r="B13" i="241"/>
  <c r="T12" i="241"/>
  <c r="S12" i="241"/>
  <c r="F12" i="241"/>
  <c r="G12" i="241" s="1"/>
  <c r="B12" i="241"/>
  <c r="S11" i="241"/>
  <c r="F11" i="241"/>
  <c r="T11" i="241" s="1"/>
  <c r="B11" i="241"/>
  <c r="S10" i="241"/>
  <c r="M10" i="241"/>
  <c r="L13" i="241" s="1"/>
  <c r="M13" i="241" s="1"/>
  <c r="F10" i="241"/>
  <c r="T10" i="241" s="1"/>
  <c r="B10" i="241"/>
  <c r="S9" i="241"/>
  <c r="F9" i="241"/>
  <c r="T9" i="241" s="1"/>
  <c r="B9" i="241"/>
  <c r="S8" i="241"/>
  <c r="F8" i="241"/>
  <c r="T8" i="241" s="1"/>
  <c r="B8" i="241"/>
  <c r="A8" i="241"/>
  <c r="A9" i="241" s="1"/>
  <c r="A10" i="241" s="1"/>
  <c r="A11" i="241" s="1"/>
  <c r="A12" i="241" s="1"/>
  <c r="A13" i="241" s="1"/>
  <c r="A14" i="241" s="1"/>
  <c r="A15" i="241" s="1"/>
  <c r="A16" i="241" s="1"/>
  <c r="A17" i="241" s="1"/>
  <c r="A18" i="241" s="1"/>
  <c r="A19" i="241" s="1"/>
  <c r="A20" i="241" s="1"/>
  <c r="A21" i="241" s="1"/>
  <c r="A22" i="241" s="1"/>
  <c r="A23" i="241" s="1"/>
  <c r="F7" i="241"/>
  <c r="E4" i="241"/>
  <c r="F23" i="240"/>
  <c r="B23" i="240"/>
  <c r="F22" i="240"/>
  <c r="B22" i="240"/>
  <c r="M21" i="240"/>
  <c r="H21" i="240"/>
  <c r="F21" i="240"/>
  <c r="G21" i="240" s="1"/>
  <c r="B21" i="240"/>
  <c r="M20" i="240"/>
  <c r="F20" i="240"/>
  <c r="G20" i="240" s="1"/>
  <c r="B20" i="240"/>
  <c r="F19" i="240"/>
  <c r="G19" i="240" s="1"/>
  <c r="B19" i="240"/>
  <c r="F18" i="240"/>
  <c r="G18" i="240" s="1"/>
  <c r="B18" i="240"/>
  <c r="F17" i="240"/>
  <c r="B17" i="240"/>
  <c r="F16" i="240"/>
  <c r="B16" i="240"/>
  <c r="S15" i="240"/>
  <c r="F15" i="240"/>
  <c r="G15" i="240" s="1"/>
  <c r="B15" i="240"/>
  <c r="T14" i="240"/>
  <c r="S14" i="240"/>
  <c r="K14" i="240"/>
  <c r="H28" i="240" s="1"/>
  <c r="F14" i="240"/>
  <c r="G14" i="240" s="1"/>
  <c r="B14" i="240"/>
  <c r="S13" i="240"/>
  <c r="F13" i="240"/>
  <c r="T13" i="240" s="1"/>
  <c r="B13" i="240"/>
  <c r="T12" i="240"/>
  <c r="S12" i="240"/>
  <c r="F12" i="240"/>
  <c r="B12" i="240"/>
  <c r="S11" i="240"/>
  <c r="F11" i="240"/>
  <c r="T11" i="240" s="1"/>
  <c r="B11" i="240"/>
  <c r="S10" i="240"/>
  <c r="M10" i="240"/>
  <c r="L13" i="240" s="1"/>
  <c r="M13" i="240" s="1"/>
  <c r="F10" i="240"/>
  <c r="G10" i="240" s="1"/>
  <c r="B10" i="240"/>
  <c r="S9" i="240"/>
  <c r="F9" i="240"/>
  <c r="T9" i="240" s="1"/>
  <c r="B9" i="240"/>
  <c r="S8" i="240"/>
  <c r="F8" i="240"/>
  <c r="T8" i="240" s="1"/>
  <c r="B8" i="240"/>
  <c r="A8" i="240"/>
  <c r="A9" i="240" s="1"/>
  <c r="A10" i="240" s="1"/>
  <c r="A11" i="240" s="1"/>
  <c r="A12" i="240" s="1"/>
  <c r="A13" i="240" s="1"/>
  <c r="A14" i="240" s="1"/>
  <c r="A15" i="240" s="1"/>
  <c r="A16" i="240" s="1"/>
  <c r="A17" i="240" s="1"/>
  <c r="A18" i="240" s="1"/>
  <c r="A19" i="240" s="1"/>
  <c r="A20" i="240" s="1"/>
  <c r="A21" i="240" s="1"/>
  <c r="A22" i="240" s="1"/>
  <c r="A23" i="240" s="1"/>
  <c r="F7" i="240"/>
  <c r="E4" i="240"/>
  <c r="H34" i="236"/>
  <c r="H34" i="239"/>
  <c r="H34" i="238"/>
  <c r="H34" i="237"/>
  <c r="D5" i="122"/>
  <c r="D4" i="122"/>
  <c r="H34" i="121"/>
  <c r="F23" i="236"/>
  <c r="G23" i="236" s="1"/>
  <c r="B23" i="236"/>
  <c r="F22" i="236"/>
  <c r="B22" i="236"/>
  <c r="M21" i="236"/>
  <c r="H21" i="236"/>
  <c r="F21" i="236"/>
  <c r="G21" i="236" s="1"/>
  <c r="B21" i="236"/>
  <c r="M20" i="236"/>
  <c r="F20" i="236"/>
  <c r="G20" i="236" s="1"/>
  <c r="B20" i="236"/>
  <c r="F19" i="236"/>
  <c r="G19" i="236" s="1"/>
  <c r="B19" i="236"/>
  <c r="F18" i="236"/>
  <c r="G18" i="236" s="1"/>
  <c r="B18" i="236"/>
  <c r="F17" i="236"/>
  <c r="G17" i="236" s="1"/>
  <c r="B17" i="236"/>
  <c r="F16" i="236"/>
  <c r="G16" i="236" s="1"/>
  <c r="B16" i="236"/>
  <c r="F15" i="236"/>
  <c r="T15" i="236" s="1"/>
  <c r="B15" i="236"/>
  <c r="K14" i="236"/>
  <c r="H23" i="236" s="1"/>
  <c r="F14" i="236"/>
  <c r="G14" i="236" s="1"/>
  <c r="B14" i="236"/>
  <c r="L13" i="236"/>
  <c r="M13" i="236" s="1"/>
  <c r="F13" i="236"/>
  <c r="G13" i="236" s="1"/>
  <c r="B13" i="236"/>
  <c r="F12" i="236"/>
  <c r="G12" i="236" s="1"/>
  <c r="B12" i="236"/>
  <c r="F11" i="236"/>
  <c r="T11" i="236" s="1"/>
  <c r="B11" i="236"/>
  <c r="M10" i="236"/>
  <c r="F10" i="236"/>
  <c r="G10" i="236" s="1"/>
  <c r="B10" i="236"/>
  <c r="F9" i="236"/>
  <c r="G9" i="236" s="1"/>
  <c r="B9" i="236"/>
  <c r="F8" i="236"/>
  <c r="G8" i="236" s="1"/>
  <c r="B8" i="236"/>
  <c r="A8" i="236"/>
  <c r="A9" i="236" s="1"/>
  <c r="A10" i="236" s="1"/>
  <c r="A11" i="236" s="1"/>
  <c r="A12" i="236" s="1"/>
  <c r="A13" i="236" s="1"/>
  <c r="A14" i="236" s="1"/>
  <c r="A15" i="236" s="1"/>
  <c r="A16" i="236" s="1"/>
  <c r="A17" i="236" s="1"/>
  <c r="A18" i="236" s="1"/>
  <c r="A19" i="236" s="1"/>
  <c r="A20" i="236" s="1"/>
  <c r="A21" i="236" s="1"/>
  <c r="A22" i="236" s="1"/>
  <c r="A23" i="236" s="1"/>
  <c r="F7" i="236"/>
  <c r="G22" i="236" s="1"/>
  <c r="F22" i="239"/>
  <c r="G22" i="239" s="1"/>
  <c r="B22" i="239"/>
  <c r="H21" i="239"/>
  <c r="F21" i="239"/>
  <c r="G21" i="239" s="1"/>
  <c r="B21" i="239"/>
  <c r="M20" i="239"/>
  <c r="M21" i="239" s="1"/>
  <c r="F20" i="239"/>
  <c r="B20" i="239"/>
  <c r="F19" i="239"/>
  <c r="B19" i="239"/>
  <c r="F18" i="239"/>
  <c r="B18" i="239"/>
  <c r="F17" i="239"/>
  <c r="B17" i="239"/>
  <c r="F16" i="239"/>
  <c r="B16" i="239"/>
  <c r="S15" i="239"/>
  <c r="F15" i="239"/>
  <c r="T15" i="239" s="1"/>
  <c r="B15" i="239"/>
  <c r="S14" i="239"/>
  <c r="K14" i="239"/>
  <c r="H28" i="239" s="1"/>
  <c r="F14" i="239"/>
  <c r="B14" i="239"/>
  <c r="S13" i="239"/>
  <c r="F13" i="239"/>
  <c r="T13" i="239" s="1"/>
  <c r="B13" i="239"/>
  <c r="S12" i="239"/>
  <c r="F12" i="239"/>
  <c r="B12" i="239"/>
  <c r="S11" i="239"/>
  <c r="F11" i="239"/>
  <c r="G11" i="239" s="1"/>
  <c r="B11" i="239"/>
  <c r="T10" i="239"/>
  <c r="S10" i="239"/>
  <c r="M10" i="239"/>
  <c r="L13" i="239" s="1"/>
  <c r="M13" i="239" s="1"/>
  <c r="F10" i="239"/>
  <c r="B10" i="239"/>
  <c r="S9" i="239"/>
  <c r="F9" i="239"/>
  <c r="B9" i="239"/>
  <c r="S8" i="239"/>
  <c r="F8" i="239"/>
  <c r="B8" i="239"/>
  <c r="A8" i="239"/>
  <c r="A9" i="239" s="1"/>
  <c r="A10" i="239" s="1"/>
  <c r="A11" i="239" s="1"/>
  <c r="A12" i="239" s="1"/>
  <c r="A13" i="239" s="1"/>
  <c r="A14" i="239" s="1"/>
  <c r="A15" i="239" s="1"/>
  <c r="A16" i="239" s="1"/>
  <c r="A17" i="239" s="1"/>
  <c r="A18" i="239" s="1"/>
  <c r="A19" i="239" s="1"/>
  <c r="A20" i="239" s="1"/>
  <c r="A21" i="239" s="1"/>
  <c r="A22" i="239" s="1"/>
  <c r="F7" i="239"/>
  <c r="E4" i="239"/>
  <c r="F22" i="238"/>
  <c r="G22" i="238" s="1"/>
  <c r="B22" i="238"/>
  <c r="M21" i="238"/>
  <c r="H21" i="238"/>
  <c r="F21" i="238"/>
  <c r="B21" i="238"/>
  <c r="M20" i="238"/>
  <c r="F20" i="238"/>
  <c r="B20" i="238"/>
  <c r="F19" i="238"/>
  <c r="B19" i="238"/>
  <c r="F18" i="238"/>
  <c r="G18" i="238" s="1"/>
  <c r="B18" i="238"/>
  <c r="F17" i="238"/>
  <c r="B17" i="238"/>
  <c r="F16" i="238"/>
  <c r="G16" i="238" s="1"/>
  <c r="B16" i="238"/>
  <c r="S15" i="238"/>
  <c r="F15" i="238"/>
  <c r="T15" i="238" s="1"/>
  <c r="B15" i="238"/>
  <c r="S14" i="238"/>
  <c r="K14" i="238"/>
  <c r="H26" i="238" s="1"/>
  <c r="F14" i="238"/>
  <c r="T14" i="238" s="1"/>
  <c r="B14" i="238"/>
  <c r="S13" i="238"/>
  <c r="F13" i="238"/>
  <c r="T13" i="238" s="1"/>
  <c r="B13" i="238"/>
  <c r="S12" i="238"/>
  <c r="F12" i="238"/>
  <c r="T12" i="238" s="1"/>
  <c r="B12" i="238"/>
  <c r="T11" i="238"/>
  <c r="S11" i="238"/>
  <c r="F11" i="238"/>
  <c r="B11" i="238"/>
  <c r="S10" i="238"/>
  <c r="M10" i="238"/>
  <c r="L13" i="238" s="1"/>
  <c r="M13" i="238" s="1"/>
  <c r="F10" i="238"/>
  <c r="B10" i="238"/>
  <c r="S9" i="238"/>
  <c r="F9" i="238"/>
  <c r="T9" i="238" s="1"/>
  <c r="B9" i="238"/>
  <c r="S8" i="238"/>
  <c r="F8" i="238"/>
  <c r="T8" i="238" s="1"/>
  <c r="B8" i="238"/>
  <c r="A8" i="238"/>
  <c r="A9" i="238" s="1"/>
  <c r="A10" i="238" s="1"/>
  <c r="A11" i="238" s="1"/>
  <c r="A12" i="238" s="1"/>
  <c r="A13" i="238" s="1"/>
  <c r="A14" i="238" s="1"/>
  <c r="A15" i="238" s="1"/>
  <c r="A16" i="238" s="1"/>
  <c r="A17" i="238" s="1"/>
  <c r="A18" i="238" s="1"/>
  <c r="A19" i="238" s="1"/>
  <c r="A20" i="238" s="1"/>
  <c r="A21" i="238" s="1"/>
  <c r="A22" i="238" s="1"/>
  <c r="F7" i="238"/>
  <c r="E4" i="238"/>
  <c r="G2" i="237"/>
  <c r="G3" i="237"/>
  <c r="F23" i="237"/>
  <c r="B23" i="237"/>
  <c r="F22" i="237"/>
  <c r="G22" i="237" s="1"/>
  <c r="B22" i="237"/>
  <c r="M21" i="237"/>
  <c r="H21" i="237"/>
  <c r="F21" i="237"/>
  <c r="B21" i="237"/>
  <c r="M20" i="237"/>
  <c r="F20" i="237"/>
  <c r="B20" i="237"/>
  <c r="F19" i="237"/>
  <c r="B19" i="237"/>
  <c r="F18" i="237"/>
  <c r="B18" i="237"/>
  <c r="F17" i="237"/>
  <c r="G17" i="237" s="1"/>
  <c r="B17" i="237"/>
  <c r="F16" i="237"/>
  <c r="G16" i="237" s="1"/>
  <c r="B16" i="237"/>
  <c r="S15" i="237"/>
  <c r="F15" i="237"/>
  <c r="T15" i="237" s="1"/>
  <c r="B15" i="237"/>
  <c r="S14" i="237"/>
  <c r="K14" i="237"/>
  <c r="H28" i="237" s="1"/>
  <c r="F14" i="237"/>
  <c r="B14" i="237"/>
  <c r="S13" i="237"/>
  <c r="F13" i="237"/>
  <c r="T13" i="237" s="1"/>
  <c r="B13" i="237"/>
  <c r="S12" i="237"/>
  <c r="F12" i="237"/>
  <c r="T12" i="237" s="1"/>
  <c r="B12" i="237"/>
  <c r="S11" i="237"/>
  <c r="F11" i="237"/>
  <c r="G11" i="237" s="1"/>
  <c r="B11" i="237"/>
  <c r="S10" i="237"/>
  <c r="M10" i="237"/>
  <c r="L13" i="237" s="1"/>
  <c r="M13" i="237" s="1"/>
  <c r="F10" i="237"/>
  <c r="T10" i="237" s="1"/>
  <c r="B10" i="237"/>
  <c r="S9" i="237"/>
  <c r="F9" i="237"/>
  <c r="B9" i="237"/>
  <c r="S8" i="237"/>
  <c r="F8" i="237"/>
  <c r="B8" i="237"/>
  <c r="A8" i="237"/>
  <c r="A9" i="237" s="1"/>
  <c r="A10" i="237" s="1"/>
  <c r="A11" i="237" s="1"/>
  <c r="A12" i="237" s="1"/>
  <c r="A13" i="237" s="1"/>
  <c r="A14" i="237" s="1"/>
  <c r="A15" i="237" s="1"/>
  <c r="A16" i="237" s="1"/>
  <c r="A17" i="237" s="1"/>
  <c r="A18" i="237" s="1"/>
  <c r="A19" i="237" s="1"/>
  <c r="A20" i="237" s="1"/>
  <c r="A21" i="237" s="1"/>
  <c r="A22" i="237" s="1"/>
  <c r="A23" i="237" s="1"/>
  <c r="F7" i="237"/>
  <c r="E4" i="237"/>
  <c r="B23" i="121"/>
  <c r="F23" i="121"/>
  <c r="K14" i="121"/>
  <c r="B17" i="121"/>
  <c r="F17" i="121"/>
  <c r="B18" i="121"/>
  <c r="F18" i="121"/>
  <c r="B19" i="121"/>
  <c r="F19" i="121"/>
  <c r="B20" i="121"/>
  <c r="F20" i="121"/>
  <c r="B21" i="121"/>
  <c r="F21" i="121"/>
  <c r="B22" i="121"/>
  <c r="F22" i="121"/>
  <c r="B16" i="121"/>
  <c r="F16" i="121"/>
  <c r="B8" i="121"/>
  <c r="B9" i="121"/>
  <c r="B10" i="121"/>
  <c r="B11" i="121"/>
  <c r="B12" i="121"/>
  <c r="B13" i="121"/>
  <c r="B14" i="121"/>
  <c r="B15" i="121"/>
  <c r="G3" i="121"/>
  <c r="S15" i="236"/>
  <c r="S14" i="236"/>
  <c r="S13" i="236"/>
  <c r="S12" i="236"/>
  <c r="S11" i="236"/>
  <c r="S10" i="236"/>
  <c r="T10" i="236"/>
  <c r="S9" i="236"/>
  <c r="T9" i="236"/>
  <c r="S8" i="236"/>
  <c r="T8" i="236"/>
  <c r="E4" i="236"/>
  <c r="G3" i="236"/>
  <c r="B3" i="236"/>
  <c r="G2" i="236"/>
  <c r="H28" i="235"/>
  <c r="H34" i="235" s="1"/>
  <c r="H26" i="235"/>
  <c r="H21" i="235"/>
  <c r="M20" i="235"/>
  <c r="M21" i="235" s="1"/>
  <c r="S15" i="235"/>
  <c r="K15" i="235"/>
  <c r="F15" i="235"/>
  <c r="T15" i="235" s="1"/>
  <c r="B15" i="235"/>
  <c r="T14" i="235"/>
  <c r="S14" i="235"/>
  <c r="K14" i="235"/>
  <c r="H23" i="235" s="1"/>
  <c r="F14" i="235"/>
  <c r="G14" i="235" s="1"/>
  <c r="B14" i="235"/>
  <c r="S13" i="235"/>
  <c r="F13" i="235"/>
  <c r="T13" i="235" s="1"/>
  <c r="B13" i="235"/>
  <c r="T12" i="235"/>
  <c r="S12" i="235"/>
  <c r="F12" i="235"/>
  <c r="G12" i="235" s="1"/>
  <c r="B12" i="235"/>
  <c r="S11" i="235"/>
  <c r="F11" i="235"/>
  <c r="T11" i="235" s="1"/>
  <c r="B11" i="235"/>
  <c r="S10" i="235"/>
  <c r="M10" i="235"/>
  <c r="L13" i="235" s="1"/>
  <c r="M13" i="235" s="1"/>
  <c r="F10" i="235"/>
  <c r="G10" i="235" s="1"/>
  <c r="B10" i="235"/>
  <c r="T9" i="235"/>
  <c r="S9" i="235"/>
  <c r="F9" i="235"/>
  <c r="B9" i="235"/>
  <c r="T8" i="235"/>
  <c r="S8" i="235"/>
  <c r="F8" i="235"/>
  <c r="G8" i="235" s="1"/>
  <c r="B8" i="235"/>
  <c r="A8" i="235"/>
  <c r="A9" i="235" s="1"/>
  <c r="A10" i="235" s="1"/>
  <c r="A11" i="235" s="1"/>
  <c r="A12" i="235" s="1"/>
  <c r="A13" i="235" s="1"/>
  <c r="A14" i="235" s="1"/>
  <c r="A15" i="235" s="1"/>
  <c r="F7" i="235"/>
  <c r="G9" i="235" s="1"/>
  <c r="E4" i="235"/>
  <c r="G3" i="235"/>
  <c r="B3" i="235"/>
  <c r="G2" i="235"/>
  <c r="S14" i="246" l="1"/>
  <c r="S14" i="245"/>
  <c r="G21" i="243"/>
  <c r="G16" i="243"/>
  <c r="F11" i="122"/>
  <c r="G20" i="243"/>
  <c r="G11" i="243"/>
  <c r="G22" i="243"/>
  <c r="G10" i="243"/>
  <c r="G17" i="243"/>
  <c r="G18" i="243"/>
  <c r="G19" i="243"/>
  <c r="H28" i="243"/>
  <c r="G9" i="243"/>
  <c r="G12" i="243"/>
  <c r="G14" i="243"/>
  <c r="H23" i="243"/>
  <c r="H34" i="243" s="1"/>
  <c r="H26" i="243"/>
  <c r="G15" i="243"/>
  <c r="G13" i="243"/>
  <c r="G8" i="243"/>
  <c r="S9" i="242"/>
  <c r="H23" i="242"/>
  <c r="H34" i="242" s="1"/>
  <c r="H26" i="242"/>
  <c r="H28" i="242"/>
  <c r="G9" i="240"/>
  <c r="G16" i="240"/>
  <c r="G12" i="240"/>
  <c r="G17" i="240"/>
  <c r="T14" i="241"/>
  <c r="G21" i="241"/>
  <c r="G9" i="241"/>
  <c r="K15" i="240"/>
  <c r="D7" i="122"/>
  <c r="G10" i="241"/>
  <c r="T10" i="240"/>
  <c r="G13" i="240"/>
  <c r="G15" i="241"/>
  <c r="T15" i="240"/>
  <c r="G8" i="241"/>
  <c r="G22" i="240"/>
  <c r="G13" i="241"/>
  <c r="G8" i="240"/>
  <c r="G11" i="240"/>
  <c r="H23" i="240"/>
  <c r="H34" i="240" s="1"/>
  <c r="G23" i="240"/>
  <c r="G11" i="241"/>
  <c r="H26" i="240"/>
  <c r="H23" i="241"/>
  <c r="H34" i="241" s="1"/>
  <c r="H26" i="241"/>
  <c r="G11" i="236"/>
  <c r="G15" i="236"/>
  <c r="T12" i="236"/>
  <c r="T13" i="236"/>
  <c r="H28" i="236"/>
  <c r="K15" i="236"/>
  <c r="G8" i="239"/>
  <c r="G18" i="239"/>
  <c r="G19" i="239"/>
  <c r="G17" i="239"/>
  <c r="T8" i="239"/>
  <c r="G12" i="239"/>
  <c r="T12" i="239"/>
  <c r="G14" i="239"/>
  <c r="G20" i="239"/>
  <c r="G9" i="239"/>
  <c r="G10" i="239"/>
  <c r="G15" i="239"/>
  <c r="G16" i="239"/>
  <c r="H26" i="239"/>
  <c r="K15" i="239"/>
  <c r="T9" i="239"/>
  <c r="T14" i="239"/>
  <c r="T11" i="239"/>
  <c r="G13" i="239"/>
  <c r="H23" i="239"/>
  <c r="G20" i="238"/>
  <c r="G10" i="238"/>
  <c r="G19" i="238"/>
  <c r="G14" i="238"/>
  <c r="G21" i="238"/>
  <c r="G11" i="238"/>
  <c r="G17" i="238"/>
  <c r="G9" i="238"/>
  <c r="H23" i="238"/>
  <c r="H28" i="238"/>
  <c r="G15" i="238"/>
  <c r="G12" i="238"/>
  <c r="T10" i="238"/>
  <c r="G13" i="238"/>
  <c r="K15" i="238"/>
  <c r="G8" i="238"/>
  <c r="G18" i="237"/>
  <c r="G9" i="237"/>
  <c r="T9" i="237"/>
  <c r="G14" i="237"/>
  <c r="G20" i="237"/>
  <c r="T11" i="237"/>
  <c r="G21" i="237"/>
  <c r="G23" i="237"/>
  <c r="T14" i="237"/>
  <c r="G8" i="237"/>
  <c r="G19" i="237"/>
  <c r="G10" i="237"/>
  <c r="G15" i="237"/>
  <c r="G13" i="237"/>
  <c r="K15" i="237"/>
  <c r="G12" i="237"/>
  <c r="T8" i="237"/>
  <c r="H23" i="237"/>
  <c r="H26" i="237"/>
  <c r="T14" i="236"/>
  <c r="G15" i="235"/>
  <c r="G13" i="235"/>
  <c r="T10" i="235"/>
  <c r="G11" i="235"/>
  <c r="H26" i="236"/>
  <c r="H21" i="121"/>
  <c r="E4" i="121"/>
  <c r="S15" i="246" l="1"/>
  <c r="S15" i="245"/>
  <c r="S10" i="242"/>
  <c r="K14" i="223"/>
  <c r="S11" i="242" l="1"/>
  <c r="F15" i="121"/>
  <c r="S12" i="242" l="1"/>
  <c r="F14" i="121"/>
  <c r="F13" i="121"/>
  <c r="T13" i="121" s="1"/>
  <c r="F12" i="121"/>
  <c r="F11" i="121"/>
  <c r="F10" i="121"/>
  <c r="F9" i="121"/>
  <c r="T9" i="121" s="1"/>
  <c r="F8" i="12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F7" i="121"/>
  <c r="F15" i="223"/>
  <c r="F14" i="223"/>
  <c r="F13" i="223"/>
  <c r="F12" i="223"/>
  <c r="F11" i="223"/>
  <c r="F10" i="223"/>
  <c r="F9" i="223"/>
  <c r="F8" i="223"/>
  <c r="F7" i="223"/>
  <c r="E4" i="223"/>
  <c r="S9" i="121"/>
  <c r="S10" i="121"/>
  <c r="S11" i="121"/>
  <c r="S12" i="121"/>
  <c r="S13" i="121"/>
  <c r="S14" i="121"/>
  <c r="S15" i="121"/>
  <c r="S8" i="121"/>
  <c r="S13" i="242" l="1"/>
  <c r="G22" i="121"/>
  <c r="G19" i="121"/>
  <c r="G20" i="121"/>
  <c r="G18" i="121"/>
  <c r="G21" i="121"/>
  <c r="G17" i="121"/>
  <c r="G23" i="121"/>
  <c r="G15" i="121"/>
  <c r="G16" i="121"/>
  <c r="G14" i="121"/>
  <c r="G8" i="121"/>
  <c r="G11" i="121"/>
  <c r="G10" i="121"/>
  <c r="G12" i="121"/>
  <c r="T14" i="121"/>
  <c r="T8" i="121"/>
  <c r="T15" i="121"/>
  <c r="T12" i="121"/>
  <c r="T10" i="121"/>
  <c r="G9" i="121"/>
  <c r="G13" i="121"/>
  <c r="T11" i="121"/>
  <c r="G15" i="223"/>
  <c r="G8" i="223"/>
  <c r="G9" i="223"/>
  <c r="G10" i="223"/>
  <c r="G11" i="223"/>
  <c r="G12" i="223"/>
  <c r="G13" i="223"/>
  <c r="G14" i="223"/>
  <c r="A8" i="223"/>
  <c r="S14" i="242" l="1"/>
  <c r="B15" i="223"/>
  <c r="B14" i="223"/>
  <c r="B13" i="223"/>
  <c r="B12" i="223"/>
  <c r="B11" i="223"/>
  <c r="B10" i="223"/>
  <c r="B9" i="223"/>
  <c r="B8" i="223"/>
  <c r="A9" i="223"/>
  <c r="A10" i="223" s="1"/>
  <c r="A11" i="223" s="1"/>
  <c r="A12" i="223" s="1"/>
  <c r="A13" i="223" s="1"/>
  <c r="A14" i="223" s="1"/>
  <c r="A15" i="223" s="1"/>
  <c r="S15" i="242" l="1"/>
  <c r="A5" i="122"/>
  <c r="K5" i="18"/>
  <c r="I5" i="18" s="1"/>
  <c r="F5" i="18" s="1"/>
  <c r="J5" i="18"/>
  <c r="H5" i="18" s="1"/>
  <c r="A6" i="122" l="1"/>
  <c r="B3" i="237"/>
  <c r="K6" i="18"/>
  <c r="I6" i="18" s="1"/>
  <c r="F6" i="18" s="1"/>
  <c r="J6" i="18"/>
  <c r="H6" i="18" s="1"/>
  <c r="A7" i="122" l="1"/>
  <c r="B3" i="241"/>
  <c r="K7" i="18"/>
  <c r="I7" i="18" s="1"/>
  <c r="F7" i="18" s="1"/>
  <c r="J7" i="18"/>
  <c r="H7" i="18" s="1"/>
  <c r="B3" i="240" l="1"/>
  <c r="A8" i="122"/>
  <c r="K8" i="18"/>
  <c r="I8" i="18" s="1"/>
  <c r="F8" i="18" s="1"/>
  <c r="J8" i="18"/>
  <c r="A9" i="122" l="1"/>
  <c r="B3" i="238"/>
  <c r="K9" i="18"/>
  <c r="I9" i="18" s="1"/>
  <c r="F9" i="18" s="1"/>
  <c r="H8" i="18"/>
  <c r="J9" i="18"/>
  <c r="B3" i="239" l="1"/>
  <c r="A10" i="122"/>
  <c r="K10" i="18"/>
  <c r="I10" i="18" s="1"/>
  <c r="F10" i="18" s="1"/>
  <c r="H9" i="18"/>
  <c r="J10" i="18"/>
  <c r="A11" i="122" l="1"/>
  <c r="B3" i="242"/>
  <c r="K11" i="18"/>
  <c r="I11" i="18" s="1"/>
  <c r="F11" i="18" s="1"/>
  <c r="H10" i="18"/>
  <c r="J11" i="18"/>
  <c r="A12" i="122" l="1"/>
  <c r="B3" i="243"/>
  <c r="K12" i="18"/>
  <c r="I12" i="18" s="1"/>
  <c r="F12" i="18" s="1"/>
  <c r="H11" i="18"/>
  <c r="J12" i="18"/>
  <c r="A13" i="122" l="1"/>
  <c r="B3" i="244"/>
  <c r="K13" i="18"/>
  <c r="I13" i="18" s="1"/>
  <c r="F13" i="18" s="1"/>
  <c r="H12" i="18"/>
  <c r="J13" i="18"/>
  <c r="A14" i="122" l="1"/>
  <c r="B3" i="245"/>
  <c r="K14" i="18"/>
  <c r="I14" i="18" s="1"/>
  <c r="F14" i="18" s="1"/>
  <c r="H13" i="18"/>
  <c r="J14" i="18"/>
  <c r="A15" i="122" l="1"/>
  <c r="B3" i="246"/>
  <c r="K15" i="18"/>
  <c r="I15" i="18" s="1"/>
  <c r="F15" i="18" s="1"/>
  <c r="J15" i="18"/>
  <c r="H14" i="18"/>
  <c r="A16" i="122" l="1"/>
  <c r="B3" i="247"/>
  <c r="K16" i="18"/>
  <c r="I16" i="18" s="1"/>
  <c r="F16" i="18" s="1"/>
  <c r="J16" i="18"/>
  <c r="H15" i="18"/>
  <c r="A17" i="122" l="1"/>
  <c r="B3" i="248"/>
  <c r="K17" i="18"/>
  <c r="I17" i="18" s="1"/>
  <c r="F17" i="18" s="1"/>
  <c r="H16" i="18"/>
  <c r="J17" i="18"/>
  <c r="A18" i="122" l="1"/>
  <c r="B3" i="249"/>
  <c r="K18" i="18"/>
  <c r="I18" i="18" s="1"/>
  <c r="F18" i="18" s="1"/>
  <c r="H17" i="18"/>
  <c r="J18" i="18"/>
  <c r="K19" i="18" l="1"/>
  <c r="K20" i="18" s="1"/>
  <c r="A19" i="122"/>
  <c r="B3" i="250"/>
  <c r="H18" i="18"/>
  <c r="J19" i="18"/>
  <c r="I19" i="18"/>
  <c r="F19" i="18" s="1"/>
  <c r="A20" i="122" l="1"/>
  <c r="B3" i="251"/>
  <c r="H19" i="18"/>
  <c r="J20" i="18"/>
  <c r="I20" i="18"/>
  <c r="F20" i="18" s="1"/>
  <c r="K21" i="18"/>
  <c r="A21" i="122" l="1"/>
  <c r="B3" i="255"/>
  <c r="H20" i="18"/>
  <c r="J21" i="18"/>
  <c r="I21" i="18"/>
  <c r="K22" i="18"/>
  <c r="A22" i="122" l="1"/>
  <c r="B3" i="254"/>
  <c r="H21" i="18"/>
  <c r="J22" i="18"/>
  <c r="I22" i="18"/>
  <c r="K23" i="18"/>
  <c r="A23" i="122" l="1"/>
  <c r="A24" i="122" s="1"/>
  <c r="B3" i="253"/>
  <c r="H22" i="18"/>
  <c r="J23" i="18"/>
  <c r="I23" i="18"/>
  <c r="K24" i="18"/>
  <c r="I24" i="18" s="1"/>
  <c r="A25" i="122" l="1"/>
  <c r="B3" i="259"/>
  <c r="B3" i="252"/>
  <c r="H23" i="18"/>
  <c r="J24" i="18"/>
  <c r="H24" i="18" s="1"/>
  <c r="A26" i="122" l="1"/>
  <c r="B3" i="258"/>
  <c r="H21" i="223"/>
  <c r="G3" i="223"/>
  <c r="G2" i="223"/>
  <c r="G2" i="121"/>
  <c r="B3" i="121"/>
  <c r="K3" i="223"/>
  <c r="M20" i="223"/>
  <c r="M21" i="223" s="1"/>
  <c r="K15" i="223"/>
  <c r="M10" i="223"/>
  <c r="L13" i="223" s="1"/>
  <c r="M13" i="223" s="1"/>
  <c r="F7" i="122"/>
  <c r="F6" i="122"/>
  <c r="A27" i="122" l="1"/>
  <c r="B3" i="257"/>
  <c r="F5" i="122"/>
  <c r="H23" i="223"/>
  <c r="H28" i="223"/>
  <c r="H34" i="223" s="1"/>
  <c r="H26" i="223"/>
  <c r="A28" i="122" l="1"/>
  <c r="B3" i="256"/>
  <c r="M10" i="121"/>
  <c r="L13" i="121" s="1"/>
  <c r="M13" i="121" s="1"/>
  <c r="A29" i="122" l="1"/>
  <c r="B3" i="262"/>
  <c r="H26" i="121"/>
  <c r="H28" i="121"/>
  <c r="H23" i="121"/>
  <c r="K15" i="121"/>
  <c r="A30" i="122" l="1"/>
  <c r="B3" i="261"/>
  <c r="F4" i="122"/>
  <c r="M20" i="121"/>
  <c r="M21" i="121" s="1"/>
  <c r="G4" i="18"/>
  <c r="E5" i="18"/>
  <c r="G5" i="18" s="1"/>
  <c r="D5" i="18" s="1"/>
  <c r="A31" i="122" l="1"/>
  <c r="B3" i="260"/>
  <c r="E6" i="18"/>
  <c r="A32" i="122" l="1"/>
  <c r="B3" i="265"/>
  <c r="B3" i="223"/>
  <c r="G6" i="18"/>
  <c r="D6" i="18" s="1"/>
  <c r="E7" i="18"/>
  <c r="A33" i="122" l="1"/>
  <c r="B3" i="264"/>
  <c r="E8" i="18"/>
  <c r="G7" i="18"/>
  <c r="D7" i="18" s="1"/>
  <c r="A34" i="122" l="1"/>
  <c r="B3" i="269" s="1"/>
  <c r="B3" i="263"/>
  <c r="E9" i="18"/>
  <c r="G8" i="18"/>
  <c r="D8" i="18" s="1"/>
  <c r="A35" i="122" l="1"/>
  <c r="A36" i="122" s="1"/>
  <c r="E10" i="18"/>
  <c r="G9" i="18"/>
  <c r="D9" i="18" s="1"/>
  <c r="A37" i="122" l="1"/>
  <c r="B3" i="270"/>
  <c r="B3" i="268"/>
  <c r="E11" i="18"/>
  <c r="G10" i="18"/>
  <c r="D10" i="18" s="1"/>
  <c r="A38" i="122" l="1"/>
  <c r="B3" i="272" s="1"/>
  <c r="B3" i="275"/>
  <c r="G11" i="18"/>
  <c r="D11" i="18" s="1"/>
  <c r="E12" i="18"/>
  <c r="A39" i="122" l="1"/>
  <c r="A40" i="122" s="1"/>
  <c r="A41" i="122" s="1"/>
  <c r="G12" i="18"/>
  <c r="D12" i="18" s="1"/>
  <c r="E13" i="18"/>
  <c r="B3" i="271" l="1"/>
  <c r="B3" i="273"/>
  <c r="A42" i="122"/>
  <c r="B3" i="274"/>
  <c r="G13" i="18"/>
  <c r="D13" i="18" s="1"/>
  <c r="E14" i="18"/>
  <c r="A43" i="122" l="1"/>
  <c r="A44" i="122"/>
  <c r="B3" i="278"/>
  <c r="B3" i="276"/>
  <c r="G14" i="18"/>
  <c r="D14" i="18" s="1"/>
  <c r="E15" i="18"/>
  <c r="B3" i="277" l="1"/>
  <c r="A45" i="122"/>
  <c r="G15" i="18"/>
  <c r="D15" i="18" s="1"/>
  <c r="E16" i="18"/>
  <c r="A46" i="122" l="1"/>
  <c r="A47" i="122" s="1"/>
  <c r="B3" i="280"/>
  <c r="G16" i="18"/>
  <c r="D16" i="18" s="1"/>
  <c r="E17" i="18"/>
  <c r="A48" i="122" l="1"/>
  <c r="B3" i="282"/>
  <c r="B3" i="279"/>
  <c r="G17" i="18"/>
  <c r="D17" i="18" s="1"/>
  <c r="E18" i="18"/>
  <c r="A49" i="122" l="1"/>
  <c r="B3" i="281"/>
  <c r="G18" i="18"/>
  <c r="D18" i="18" s="1"/>
  <c r="E19" i="18"/>
  <c r="B3" i="284" l="1"/>
  <c r="G19" i="18"/>
  <c r="D19" i="18" s="1"/>
  <c r="E20" i="18"/>
  <c r="G20" i="18" l="1"/>
  <c r="D20" i="18" s="1"/>
  <c r="F17" i="242" l="1"/>
  <c r="G17" i="242" s="1"/>
  <c r="F20" i="242"/>
  <c r="G20" i="242" s="1"/>
  <c r="F16" i="242"/>
  <c r="G16" i="242" s="1"/>
  <c r="F18" i="242"/>
  <c r="G18" i="242" s="1"/>
  <c r="F19" i="242"/>
  <c r="G19" i="242" s="1"/>
  <c r="T11" i="242"/>
  <c r="F11" i="242"/>
  <c r="G11" i="242" s="1"/>
  <c r="F21" i="242"/>
  <c r="G21" i="242" s="1"/>
  <c r="F14" i="242"/>
  <c r="G14" i="242" s="1"/>
  <c r="F13" i="242"/>
  <c r="T13" i="242" s="1"/>
  <c r="F22" i="242"/>
  <c r="G22" i="242" s="1"/>
  <c r="F9" i="242"/>
  <c r="T9" i="242" s="1"/>
  <c r="T10" i="242"/>
  <c r="F10" i="242"/>
  <c r="G10" i="242" s="1"/>
  <c r="F12" i="242"/>
  <c r="G12" i="242" s="1"/>
  <c r="T12" i="242"/>
  <c r="F15" i="242"/>
  <c r="G15" i="242" s="1"/>
  <c r="T15" i="242"/>
  <c r="F8" i="242"/>
  <c r="G8" i="242" s="1"/>
  <c r="T14" i="242" l="1"/>
  <c r="G13" i="242"/>
  <c r="T8" i="242"/>
  <c r="G9" i="242"/>
  <c r="F15" i="245"/>
  <c r="G15" i="245" s="1"/>
  <c r="F9" i="245"/>
  <c r="G9" i="245" s="1"/>
  <c r="F10" i="245"/>
  <c r="G10" i="245" s="1"/>
  <c r="F19" i="245"/>
  <c r="G19" i="245" s="1"/>
  <c r="F14" i="245"/>
  <c r="G14" i="245" s="1"/>
  <c r="F16" i="245"/>
  <c r="G16" i="245" s="1"/>
  <c r="F20" i="245"/>
  <c r="G20" i="245" s="1"/>
  <c r="F12" i="245"/>
  <c r="G12" i="245" s="1"/>
  <c r="F18" i="245"/>
  <c r="G18" i="245" s="1"/>
  <c r="F11" i="245"/>
  <c r="T11" i="245" s="1"/>
  <c r="F13" i="245"/>
  <c r="G13" i="245" s="1"/>
  <c r="F17" i="245"/>
  <c r="G17" i="245" s="1"/>
  <c r="F8" i="245"/>
  <c r="G8" i="245" s="1"/>
  <c r="F21" i="245"/>
  <c r="G21" i="245" s="1"/>
  <c r="T12" i="245" l="1"/>
  <c r="T9" i="245"/>
  <c r="T13" i="245"/>
  <c r="G11" i="245"/>
  <c r="T14" i="245"/>
  <c r="T10" i="245"/>
  <c r="T15" i="245"/>
  <c r="T8" i="245"/>
  <c r="F10" i="246"/>
  <c r="T10" i="246" s="1"/>
  <c r="G10" i="246"/>
  <c r="F15" i="246"/>
  <c r="T15" i="246" s="1"/>
  <c r="G9" i="246"/>
  <c r="F9" i="246"/>
  <c r="T9" i="246" s="1"/>
  <c r="F14" i="246"/>
  <c r="T14" i="246" s="1"/>
  <c r="F16" i="246"/>
  <c r="G16" i="246" s="1"/>
  <c r="F20" i="246"/>
  <c r="G20" i="246" s="1"/>
  <c r="F19" i="246"/>
  <c r="G19" i="246" s="1"/>
  <c r="T12" i="246"/>
  <c r="F12" i="246"/>
  <c r="G12" i="246"/>
  <c r="F18" i="246"/>
  <c r="G18" i="246" s="1"/>
  <c r="F11" i="246"/>
  <c r="T11" i="246" s="1"/>
  <c r="T13" i="246"/>
  <c r="F13" i="246"/>
  <c r="G13" i="246" s="1"/>
  <c r="F17" i="246"/>
  <c r="G17" i="246"/>
  <c r="F8" i="246"/>
  <c r="T8" i="246" s="1"/>
  <c r="F21" i="246"/>
  <c r="G21" i="246" s="1"/>
  <c r="G11" i="246" l="1"/>
  <c r="G14" i="246"/>
  <c r="G15" i="246"/>
  <c r="G8" i="2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7381C0AC-4F4D-450D-AA85-C726F492863D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C968A86A-86E1-46E5-BB68-73999B4B157F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7B258073-ABA1-4052-85E1-0E6E997B18E4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06C6CCC-D341-45BB-B80F-E384E2089F5C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3649BFEE-8C18-4D1A-A679-34C6187474BE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45D874C8-CF36-4A08-AAED-2FC3F9A7E911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E050C40B-AC27-42CA-9CF2-F799817D6953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C6A26FD-CEDC-4D29-9070-22F48B631D93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0E895977-768A-4D75-9D1F-843C043C0DC4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06068B42-A3D8-44BF-8EF2-71970AF12E16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B32D024F-7993-4672-9262-A0FD89514149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967D0D01-37E3-44E5-BD1D-148DE6CE5799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7C180505-14BF-4B81-A0A6-AC018F107727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C9AC0E00-28ED-4C5A-BCFC-148B873D3301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51B33B3C-8D91-40EA-A2CE-839E9BF2BC86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1817FB6A-099E-485C-952F-958671AA3F56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59D57BD0-45CF-4A44-9490-62C3908D431B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C19B3B0E-7F71-466F-BD1C-723EC56CC757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80108368-2584-4B8C-BD20-4E20F9DED1AD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02357FB7-2323-40F8-995A-DBDE2AB15C6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F7C9565A-28EA-4577-86F1-1E58D9C9CF19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9AEDFD4A-CA3F-42E5-B473-514DD1480518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35E2E583-94C8-4FD0-B374-02F1EFA4FF7E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B8561DA5-0185-4666-BD1D-C5D6A606628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D2BDF25B-DFEE-4C40-B96E-E7AA7C0F968C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42C0687C-388C-4354-8051-FE5524E211C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8A3B5873-1395-4261-B581-BF4EBEA0AEB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819F8652-95F5-48E1-82EF-4A395F0E28C4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4658B0AA-8D80-49DA-81C3-86FD9EDF2E0A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3266BB3F-F38A-45AD-9BA2-6162DF728EA1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49443150-10FF-403A-A0B0-AA5A8926D86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C84B202E-36C9-4C47-8101-D8BD4E53F038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A0CD86BD-6541-43B2-958C-08262B9C8AB3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E929208D-752A-41DA-8668-AC01DDF3D033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CFA076D5-1F16-4FE5-AB36-CF1D29CB578C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8B917AC9-AE96-4F10-9B10-6A52286A1926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7A74933D-E164-4B05-B20C-FF5286D39A13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021BECC-764B-4EA2-A3D4-4C3C2D548076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84962664-AEF6-46AF-BC12-218403FA850A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74BEED32-B471-4A61-9635-B7922F72FD74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FA663C45-0EE0-4453-A02D-4010172D9FAC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01A341B6-DF23-4A59-890D-C2E66427B5AA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F93140B5-5BA9-485C-B5E2-B36522EE204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CE3D88A8-36C0-48BE-A748-136388B6453C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B0D11C6C-58E8-4BA6-A498-713BF1091445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9DFDC4F-1324-4F17-82D7-6F17CC52A52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E531E04-361D-4DAD-9AAC-C1147AEF7273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18EC8F66-6647-4C23-B1CC-F1433138DD61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B29BDFFA-32B8-414F-AEB5-8D18841A2CF5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9480ABF-47CF-4310-860D-9EDB52DC8955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K28" authorId="0" shapeId="0" xr:uid="{2027E157-481C-4912-8AE3-E77F625466AA}">
      <text>
        <r>
          <rPr>
            <b/>
            <sz val="9"/>
            <color indexed="81"/>
            <rFont val="Tahoma"/>
            <family val="2"/>
          </rPr>
          <t>TEST: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<sst xmlns="http://schemas.openxmlformats.org/spreadsheetml/2006/main" count="3503" uniqueCount="136">
  <si>
    <t>평 판  재 하  시 험</t>
    <phoneticPr fontId="3" type="noConversion"/>
  </si>
  <si>
    <t xml:space="preserve">공 사 명 : </t>
    <phoneticPr fontId="3" type="noConversion"/>
  </si>
  <si>
    <t xml:space="preserve">시험일자 : </t>
  </si>
  <si>
    <t xml:space="preserve">시험번호 : </t>
  </si>
  <si>
    <t>재하조건</t>
  </si>
  <si>
    <t>평판면적 :</t>
  </si>
  <si>
    <t>초기하중 :</t>
  </si>
  <si>
    <t xml:space="preserve">재  하  하  중    </t>
  </si>
  <si>
    <t>누계침하량
(mm)</t>
    <phoneticPr fontId="3" type="noConversion"/>
  </si>
  <si>
    <t>평균
(mm)</t>
    <phoneticPr fontId="3" type="noConversion"/>
  </si>
  <si>
    <t>K30=147 MN/㎥ 이상</t>
    <phoneticPr fontId="3" type="noConversion"/>
  </si>
  <si>
    <t>노체</t>
  </si>
  <si>
    <t>K30=196 MN/㎥ 이상</t>
    <phoneticPr fontId="3" type="noConversion"/>
  </si>
  <si>
    <t>노상</t>
  </si>
  <si>
    <t>2계열</t>
  </si>
  <si>
    <t>X</t>
  </si>
  <si>
    <t>K30=294 MN/㎥ 이상</t>
    <phoneticPr fontId="3" type="noConversion"/>
  </si>
  <si>
    <t>선택층</t>
  </si>
  <si>
    <t>Y</t>
  </si>
  <si>
    <t>DATA입력↓</t>
  </si>
  <si>
    <t>3계열</t>
  </si>
  <si>
    <t>계산기</t>
  </si>
  <si>
    <t>기준침하량</t>
  </si>
  <si>
    <t>보조기층</t>
  </si>
  <si>
    <t>전(1)</t>
  </si>
  <si>
    <t>후(2)</t>
  </si>
  <si>
    <t>침하량(y)</t>
  </si>
  <si>
    <t>뒷채움</t>
    <phoneticPr fontId="3" type="noConversion"/>
  </si>
  <si>
    <t>하중강도(x)</t>
  </si>
  <si>
    <t>결  과</t>
  </si>
  <si>
    <t>암성토</t>
  </si>
  <si>
    <t>K30</t>
  </si>
  <si>
    <t xml:space="preserve"> </t>
  </si>
  <si>
    <t>1/100</t>
    <phoneticPr fontId="3" type="noConversion"/>
  </si>
  <si>
    <t>위       치 :</t>
    <phoneticPr fontId="3" type="noConversion"/>
  </si>
  <si>
    <t>적 용 시 방 기 준
(콘크리트포장)</t>
    <phoneticPr fontId="3" type="noConversion"/>
  </si>
  <si>
    <t>양촌·용정지구 일반산업단지 부지조성공사</t>
    <phoneticPr fontId="3" type="noConversion"/>
  </si>
  <si>
    <t>시험 결과</t>
    <phoneticPr fontId="3" type="noConversion"/>
  </si>
  <si>
    <t>기준에 적합</t>
    <phoneticPr fontId="3" type="noConversion"/>
  </si>
  <si>
    <t xml:space="preserve">  DATA 분석</t>
    <phoneticPr fontId="3" type="noConversion"/>
  </si>
  <si>
    <t>시험단계</t>
    <phoneticPr fontId="3" type="noConversion"/>
  </si>
  <si>
    <t>시험
단계</t>
    <phoneticPr fontId="3" type="noConversion"/>
  </si>
  <si>
    <t xml:space="preserve"> 
 ■ 비고
    - 재하판 안정을 위해 미리 하중 강도 35kN/㎡ 상당의 하중을 가한 후 제거
    - 하중 강도가 35kN/㎡씩 되도록 하중을 단계적으로 증가
    - 하중에 의한 침하의 진행이 멈추면 하중계와 변위계 눈금 측정
    * 침하 진행이 멈추는 경우의 판단 기준 : 1분간의 침하량이 그 하중 강도에 의한 그 단계의 누적 침하량의 1% 이하 일때
    - 매립토석의 크기가 0.03㎥/EA 이하이므로 직경 400mm 재하판 사용
    - 상부 시멘트 포장으로 침하량 1.25mm 적용    </t>
    <phoneticPr fontId="3" type="noConversion"/>
  </si>
  <si>
    <t>위  치</t>
    <phoneticPr fontId="3" type="noConversion"/>
  </si>
  <si>
    <t>기  준</t>
    <phoneticPr fontId="3" type="noConversion"/>
  </si>
  <si>
    <t>사  진  대  지</t>
    <phoneticPr fontId="23" type="noConversion"/>
  </si>
  <si>
    <r>
      <rPr>
        <b/>
        <sz val="11"/>
        <rFont val="맑은 고딕"/>
        <family val="3"/>
        <charset val="129"/>
      </rPr>
      <t xml:space="preserve">내 </t>
    </r>
    <r>
      <rPr>
        <b/>
        <sz val="11"/>
        <rFont val="돋음"/>
        <family val="3"/>
        <charset val="129"/>
      </rPr>
      <t xml:space="preserve">    </t>
    </r>
    <r>
      <rPr>
        <b/>
        <sz val="11"/>
        <rFont val="맑은 고딕"/>
        <family val="3"/>
        <charset val="129"/>
      </rPr>
      <t>용</t>
    </r>
    <phoneticPr fontId="23" type="noConversion"/>
  </si>
  <si>
    <t>위    치</t>
    <phoneticPr fontId="23" type="noConversion"/>
  </si>
  <si>
    <t>일    시</t>
    <phoneticPr fontId="23" type="noConversion"/>
  </si>
  <si>
    <r>
      <t>공사명 : 양촌</t>
    </r>
    <r>
      <rPr>
        <b/>
        <sz val="11"/>
        <rFont val="Calibri"/>
        <family val="3"/>
      </rPr>
      <t>·</t>
    </r>
    <r>
      <rPr>
        <b/>
        <sz val="11"/>
        <rFont val="돋음"/>
        <family val="3"/>
        <charset val="129"/>
      </rPr>
      <t xml:space="preserve">용정지구 일반산업단지 </t>
    </r>
    <r>
      <rPr>
        <b/>
        <sz val="11"/>
        <rFont val="Arial Unicode MS"/>
        <family val="3"/>
        <charset val="129"/>
      </rPr>
      <t>부지</t>
    </r>
    <r>
      <rPr>
        <b/>
        <sz val="11"/>
        <rFont val="돋음"/>
        <family val="3"/>
        <charset val="129"/>
      </rPr>
      <t>조성공사</t>
    </r>
    <phoneticPr fontId="3" type="noConversion"/>
  </si>
  <si>
    <t>K30=2.2×K75
K30=1.3×K40</t>
    <phoneticPr fontId="3" type="noConversion"/>
  </si>
  <si>
    <t>지반반력계수 환산</t>
    <phoneticPr fontId="3" type="noConversion"/>
  </si>
  <si>
    <t>시험번호</t>
    <phoneticPr fontId="3" type="noConversion"/>
  </si>
  <si>
    <t>시험일자</t>
    <phoneticPr fontId="3" type="noConversion"/>
  </si>
  <si>
    <t>시험번호, 시험일자, 위치 -&gt; List에서 변경하면 시험 시트 자동 변경
시험결과 -&gt; 시험 시트에서 변경하면 Rist에서 자동변경</t>
    <phoneticPr fontId="3" type="noConversion"/>
  </si>
  <si>
    <t>붉은색 -&gt; data 입력</t>
    <phoneticPr fontId="3" type="noConversion"/>
  </si>
  <si>
    <t>합부판정</t>
    <phoneticPr fontId="3" type="noConversion"/>
  </si>
  <si>
    <t>하중강도</t>
    <phoneticPr fontId="3" type="noConversion"/>
  </si>
  <si>
    <t>좌(mm)</t>
    <phoneticPr fontId="3" type="noConversion"/>
  </si>
  <si>
    <t>우(mm)</t>
    <phoneticPr fontId="3" type="noConversion"/>
  </si>
  <si>
    <t>Data</t>
    <phoneticPr fontId="3" type="noConversion"/>
  </si>
  <si>
    <t>변위량</t>
    <phoneticPr fontId="23" type="noConversion"/>
  </si>
  <si>
    <t>좌</t>
    <phoneticPr fontId="23" type="noConversion"/>
  </si>
  <si>
    <t>우</t>
    <phoneticPr fontId="23" type="noConversion"/>
  </si>
  <si>
    <t>계수</t>
    <phoneticPr fontId="3" type="noConversion"/>
  </si>
  <si>
    <t>하  중
(kgf)</t>
  </si>
  <si>
    <t>하중강도
(kN/㎡)</t>
  </si>
  <si>
    <t>선택하여 붙여 넣기 값</t>
    <phoneticPr fontId="3" type="noConversion"/>
  </si>
  <si>
    <t>AUTO
선택하여 붙여넣기 
-&gt; 값</t>
    <phoneticPr fontId="3" type="noConversion"/>
  </si>
  <si>
    <t>KS F 2310</t>
    <phoneticPr fontId="3" type="noConversion"/>
  </si>
  <si>
    <t>전하중
(kN)</t>
    <phoneticPr fontId="3" type="noConversion"/>
  </si>
  <si>
    <t>재하판 지름 :</t>
    <phoneticPr fontId="3" type="noConversion"/>
  </si>
  <si>
    <t>35kN/㎡</t>
    <phoneticPr fontId="3" type="noConversion"/>
  </si>
  <si>
    <t>침하량
(mm)</t>
    <phoneticPr fontId="3" type="noConversion"/>
  </si>
  <si>
    <t>재하응력
(kN/㎡)</t>
    <phoneticPr fontId="3" type="noConversion"/>
  </si>
  <si>
    <t>하중</t>
    <phoneticPr fontId="3" type="noConversion"/>
  </si>
  <si>
    <t>변위계의 눈금(mm)</t>
    <phoneticPr fontId="3" type="noConversion"/>
  </si>
  <si>
    <t>왼쪽</t>
    <phoneticPr fontId="3" type="noConversion"/>
  </si>
  <si>
    <t>오른쪽</t>
    <phoneticPr fontId="3" type="noConversion"/>
  </si>
  <si>
    <t>평균</t>
    <phoneticPr fontId="3" type="noConversion"/>
  </si>
  <si>
    <t>시간
min - s</t>
    <phoneticPr fontId="3" type="noConversion"/>
  </si>
  <si>
    <t>시험자 : 박은광  (인)                확인자 : 우상기  (인)            건설사업관리기술인 : 박창식  (인)</t>
    <phoneticPr fontId="3" type="noConversion"/>
  </si>
  <si>
    <t>진천메가폴리스 산업단지 조성사업</t>
    <phoneticPr fontId="3" type="noConversion"/>
  </si>
  <si>
    <t>시험자 : 윤 정 필  (인)                확인자 : 백 귀 석  (인)            건설사업관리기술인 : 금 동 훈  (인)</t>
    <phoneticPr fontId="3" type="noConversion"/>
  </si>
  <si>
    <t xml:space="preserve"> 
 ■ 비고
    - 재하판 안정을 위해 미리 하중 강도 35kN/㎡ 상당의 하중을 가한 후 제거
    - 하중 강도가 35kN/㎡씩 되도록 하중을 단계적으로 증가
    - 하중에 의한 침하의 진행이 멈추면 하중계와 변위계 눈금 측정
    * 침하 진행이 멈추는 경우의 판단 기준 : 1분간의 침하량이 그 하중 강도에 의한 그 단계의 누적 침하량의 1% 이하 일때
    - 쌓기의 치수가 300mm 이하이므로 직경 300mm 재하판 사용
    - 상부 아스팔트 콘크리트 포장으로 침하량 2.5mm 적용    </t>
    <phoneticPr fontId="3" type="noConversion"/>
  </si>
  <si>
    <t xml:space="preserve"> 
 ■ 비고
    - 재하판 안정을 위해 미리 하중 강도 35kN/㎡ 상당의 하중을 가한 후 제거
    - 하중 강도가 35kN/㎡씩 되도록 하중을 단계적으로 증가
    - 하중에 의한 침하의 진행이 멈추면 하중계와 변위계 눈금 측정
    * 침하 진행이 멈추는 경우의 판단 기준 : 1분간의 침하량이 그 하중 강도에 의한 그 단계의 누적 침하량의 1% 이하 일때
    - 암성토 직경 400mm 재하판 사용
    - 암쌓기 침하량 1.25mm 적용    </t>
    <phoneticPr fontId="3" type="noConversion"/>
  </si>
  <si>
    <t>시험자 : 문 정 수  (인)                확인자 : 백 귀 석  (인)            건설사업관리기술인 : 금 동 훈  (인)</t>
    <phoneticPr fontId="3" type="noConversion"/>
  </si>
  <si>
    <t>중로(집) 3-16 (No.36 ~ No.41) 노체 1단(3층)</t>
    <phoneticPr fontId="3" type="noConversion"/>
  </si>
  <si>
    <t>중로(집) 3-16 (No.36 ~ No.41) 노체 2단(6층)</t>
    <phoneticPr fontId="3" type="noConversion"/>
  </si>
  <si>
    <t>중로(집) 3-16 (No.36 ~ No.41) 노체 3단(9층)</t>
    <phoneticPr fontId="3" type="noConversion"/>
  </si>
  <si>
    <t>중로(집) 3-16 (No.36 ~ No.41) 노체 4단(12층)</t>
    <phoneticPr fontId="3" type="noConversion"/>
  </si>
  <si>
    <t>중로(집) 3-14 (No.6 ~ No.9),소로(국)3-17 노체 1단(3층)</t>
    <phoneticPr fontId="3" type="noConversion"/>
  </si>
  <si>
    <t>중로(집) 3-14 (No.6 ~ No.9),소로(국)3-17 노체 2단(6층)</t>
    <phoneticPr fontId="3" type="noConversion"/>
  </si>
  <si>
    <t>중로(집) 3-14 (No.6 ~ No.9),소로(국)3-17  노체 3단(9층)</t>
    <phoneticPr fontId="3" type="noConversion"/>
  </si>
  <si>
    <t>중로(집) 3-14 (No.6 ~ No.9),소로(국)3-17  노체 4단(12층)</t>
    <phoneticPr fontId="3" type="noConversion"/>
  </si>
  <si>
    <t>중로(집) 3-14 (No.6 ~ No.9),소로(국)3-17  노체 5단(15층)</t>
    <phoneticPr fontId="3" type="noConversion"/>
  </si>
  <si>
    <t>중로(집) 3-14 (No.6 ~ No.9),소로(국)3-17  노체 6단(18층)</t>
    <phoneticPr fontId="3" type="noConversion"/>
  </si>
  <si>
    <t>중로(집) 3-16 (No.36 ~ No.41) 노체 5단(15층)</t>
    <phoneticPr fontId="3" type="noConversion"/>
  </si>
  <si>
    <t>중로(집) 3-16 (No.36 ~ No.41) 노체 6단(18층)</t>
    <phoneticPr fontId="3" type="noConversion"/>
  </si>
  <si>
    <t>중로(집) 3-14 (No.6 ~ No.9),소로(국)3-17  노체 7단(21층)</t>
    <phoneticPr fontId="3" type="noConversion"/>
  </si>
  <si>
    <t>중로(집) 3-14 (No.6 ~ No.9),소로(국)3-17  노체 8단(24층)</t>
    <phoneticPr fontId="3" type="noConversion"/>
  </si>
  <si>
    <t>중로(집) 3-16 (No.36 ~ No.41) 노체 7단(21층)</t>
    <phoneticPr fontId="3" type="noConversion"/>
  </si>
  <si>
    <t>중로(집) 3-16 (No.36 ~ No.41) 노체 8단(24층)</t>
    <phoneticPr fontId="3" type="noConversion"/>
  </si>
  <si>
    <t>중로(집) 3-14 (No.6 ~ No.9),소로(국)3-17  노체 9단(27층)</t>
    <phoneticPr fontId="3" type="noConversion"/>
  </si>
  <si>
    <t>중로(집) 3-14 (No.6 ~ No.9),소로(국)3-17  노체 10단(30층)</t>
    <phoneticPr fontId="3" type="noConversion"/>
  </si>
  <si>
    <t>중로(집) 3-16 (No.36 ~ No.41) 노체 9단(27층)</t>
    <phoneticPr fontId="3" type="noConversion"/>
  </si>
  <si>
    <t>중로(집) 3-16 (No.36 ~ No.41) 노체 10단(30층)</t>
    <phoneticPr fontId="3" type="noConversion"/>
  </si>
  <si>
    <t>중로(집) 3-12 (No.17 ~ No.20) 노체 1단(3층)</t>
    <phoneticPr fontId="3" type="noConversion"/>
  </si>
  <si>
    <t>중로(집) 3-12 (No.17 ~ No.20) 노체 2단(6층)</t>
    <phoneticPr fontId="3" type="noConversion"/>
  </si>
  <si>
    <t>중로(집) 3-16 (No.36 ~ No.41) 노체 11단(33층)</t>
    <phoneticPr fontId="3" type="noConversion"/>
  </si>
  <si>
    <t>중로(집) 3-16 (No.36 ~ No.41) 노체 12단(36층)</t>
    <phoneticPr fontId="3" type="noConversion"/>
  </si>
  <si>
    <t>중로(집) 3-12 (No.17 ~ No.20) 노체 3단(9층)</t>
    <phoneticPr fontId="3" type="noConversion"/>
  </si>
  <si>
    <t>중로(집) 3-12 (No.17 ~ No.20) 노체 4단(12층)</t>
    <phoneticPr fontId="3" type="noConversion"/>
  </si>
  <si>
    <t>중로(집) 3-16 (No.36 ~ No.41) 노체 13단(39층)</t>
    <phoneticPr fontId="3" type="noConversion"/>
  </si>
  <si>
    <t>중로(집) 3-12 (No.17 ~ No.20) 노체 5단(15층)</t>
    <phoneticPr fontId="3" type="noConversion"/>
  </si>
  <si>
    <t>중로(집) 3-12 (No.17 ~ No.20) 노체 6단(18층)</t>
    <phoneticPr fontId="3" type="noConversion"/>
  </si>
  <si>
    <t>중로(집) 3-16 (No.36 ~ No.41) 노체 14단(42층)</t>
    <phoneticPr fontId="3" type="noConversion"/>
  </si>
  <si>
    <t>중로(집) 3-12 (No.17 ~ No.20) 노체 7단(21층)</t>
    <phoneticPr fontId="3" type="noConversion"/>
  </si>
  <si>
    <t>중로(집) 3-12 (No.17 ~ No.20) 노체 8단(24층)</t>
    <phoneticPr fontId="3" type="noConversion"/>
  </si>
  <si>
    <t>중로(집) 3-12 (No.17 ~ No.20) 노체 9단(27층)</t>
    <phoneticPr fontId="3" type="noConversion"/>
  </si>
  <si>
    <t>중로(집) 3-12 (No.17 ~ No.20) 노체 10단(30층)</t>
    <phoneticPr fontId="3" type="noConversion"/>
  </si>
  <si>
    <t>중로(집) 3-12 (No.17 ~ No.20) 노체 11단(33층)</t>
    <phoneticPr fontId="3" type="noConversion"/>
  </si>
  <si>
    <t>중로(집) 3-16 (No.36 ~ No.50) 노체 15단(45층) - 1회</t>
    <phoneticPr fontId="3" type="noConversion"/>
  </si>
  <si>
    <t>중로(집) 3-16 (No.36 ~ No.50) 노체 15단(45층) - 2회</t>
    <phoneticPr fontId="3" type="noConversion"/>
  </si>
  <si>
    <t>중로(집) 3-16 (No.36 ~ No.50) 노체 16단(48층) - 1회</t>
    <phoneticPr fontId="3" type="noConversion"/>
  </si>
  <si>
    <t>중로(집) 3-16 (No.36 ~ No.50) 노체 16단(48층) - 2회</t>
    <phoneticPr fontId="3" type="noConversion"/>
  </si>
  <si>
    <t>중로(집) 3-16 (No.36 ~ No.50) 노체 17단(51층) - 1회</t>
    <phoneticPr fontId="3" type="noConversion"/>
  </si>
  <si>
    <t>중로(집) 3-16 (No.36 ~ No.50) 노체 17단(51층) - 2회</t>
    <phoneticPr fontId="3" type="noConversion"/>
  </si>
  <si>
    <t>중로(집) 3-16 (No.36 ~ No.50) 노체 18단(54층) - 1회</t>
    <phoneticPr fontId="3" type="noConversion"/>
  </si>
  <si>
    <t>중로(집) 3-16 (No.36 ~ No.50) 노체 18단(54층) - 2회</t>
    <phoneticPr fontId="3" type="noConversion"/>
  </si>
  <si>
    <t>중로(집) 3-16 (No.36 ~ No.50) 노체 19단(57층) - 1회</t>
    <phoneticPr fontId="3" type="noConversion"/>
  </si>
  <si>
    <t>중로(집) 3-16 (No.36 ~ No.50) 노체 19단(57층) - 2회</t>
    <phoneticPr fontId="3" type="noConversion"/>
  </si>
  <si>
    <t>중로(집) 3-16 (No.36 ~ No.50) 노체 20단(60층) - 1회</t>
    <phoneticPr fontId="3" type="noConversion"/>
  </si>
  <si>
    <t>중로(집) 3-16 (No.36 ~ No.50) 노체 20단(60층) - 2회</t>
    <phoneticPr fontId="3" type="noConversion"/>
  </si>
  <si>
    <t>중로(집) 3-16 (No.36 ~ No.50, 좌측) 노체 21단(63층)</t>
    <phoneticPr fontId="3" type="noConversion"/>
  </si>
  <si>
    <t>중로(집) 3-16 (No.36 ~ No.50, 우측) 노체 21단(63층)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</si>
</sst>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_ "/>
    <numFmt numFmtId="177" formatCode="\ \ \ \ \ \ \ &quot;=&quot;\ 0.0_ "/>
    <numFmt numFmtId="178" formatCode="0.0%"/>
    <numFmt numFmtId="179" formatCode="0.0_);[Red]\(0.0\)"/>
    <numFmt numFmtId="180" formatCode="0.0"/>
    <numFmt numFmtId="181" formatCode="yyyy&quot;년&quot;\ m&quot;월&quot;\ d&quot;일&quot;;@"/>
    <numFmt numFmtId="182" formatCode="0.000_ "/>
    <numFmt numFmtId="183" formatCode="0.00_ "/>
    <numFmt numFmtId="184" formatCode="0.0&quot;KN/m2&quot;"/>
    <numFmt numFmtId="185" formatCode="\ \ \ \ \ \ \ &quot;=&quot;\ 0.0_ &quot;MN/㎥&quot;"/>
    <numFmt numFmtId="186" formatCode="###"/>
    <numFmt numFmtId="187" formatCode="yy\/mm\/dd"/>
    <numFmt numFmtId="188" formatCode="\A\-\10\1\-0\2\-0\4\-000"/>
    <numFmt numFmtId="189" formatCode="0\ &quot;㎠&quot;"/>
    <numFmt numFmtId="190" formatCode="&quot;사진.&quot;\ #"/>
    <numFmt numFmtId="191" formatCode="0.000"/>
    <numFmt numFmtId="192" formatCode="##\ &quot;mm&quot;"/>
    <numFmt numFmtId="193" formatCode="0.0\ &quot;㎠&quot;"/>
  </numFmts>
  <fonts count="4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indexed="10"/>
      <name val="굴림"/>
      <family val="3"/>
      <charset val="129"/>
    </font>
    <font>
      <sz val="10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sz val="10"/>
      <color indexed="9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0000CC"/>
      <name val="굴림"/>
      <family val="3"/>
      <charset val="129"/>
    </font>
    <font>
      <sz val="10"/>
      <color theme="1"/>
      <name val="굴림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맑은 고딕"/>
      <family val="2"/>
      <scheme val="minor"/>
    </font>
    <font>
      <sz val="9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8"/>
      <name val="돋음"/>
      <family val="3"/>
      <charset val="129"/>
    </font>
    <font>
      <sz val="8"/>
      <name val="돋움"/>
      <family val="3"/>
      <charset val="129"/>
    </font>
    <font>
      <b/>
      <sz val="11"/>
      <name val="돋음"/>
      <family val="3"/>
      <charset val="129"/>
    </font>
    <font>
      <b/>
      <sz val="12"/>
      <name val="돋음"/>
      <family val="3"/>
      <charset val="129"/>
    </font>
    <font>
      <sz val="11"/>
      <color theme="1"/>
      <name val="돋음"/>
      <family val="3"/>
      <charset val="129"/>
    </font>
    <font>
      <b/>
      <sz val="11"/>
      <name val="맑은 고딕"/>
      <family val="3"/>
      <charset val="129"/>
    </font>
    <font>
      <b/>
      <sz val="11"/>
      <name val="Calibri"/>
      <family val="3"/>
    </font>
    <font>
      <b/>
      <sz val="11"/>
      <name val="Arial Unicode MS"/>
      <family val="3"/>
      <charset val="129"/>
    </font>
    <font>
      <b/>
      <sz val="22"/>
      <name val="돋음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theme="1"/>
      <name val="돋움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color theme="0"/>
      <name val="굴림"/>
      <family val="3"/>
      <charset val="129"/>
    </font>
    <font>
      <b/>
      <sz val="11"/>
      <color theme="0"/>
      <name val="굴림"/>
      <family val="3"/>
      <charset val="129"/>
    </font>
    <font>
      <sz val="8.5"/>
      <color rgb="FF000000"/>
      <name val="굴림"/>
      <family val="3"/>
      <charset val="129"/>
    </font>
    <font>
      <sz val="7"/>
      <name val="굴림"/>
      <family val="3"/>
      <charset val="129"/>
    </font>
    <font>
      <sz val="7"/>
      <color rgb="FF000000"/>
      <name val="굴림"/>
      <family val="3"/>
      <charset val="129"/>
    </font>
    <font>
      <sz val="7.5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7" fillId="0" borderId="0"/>
    <xf numFmtId="0" fontId="5" fillId="0" borderId="0"/>
  </cellStyleXfs>
  <cellXfs count="297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right" vertical="center"/>
    </xf>
    <xf numFmtId="0" fontId="10" fillId="0" borderId="0" xfId="1" applyFont="1" applyAlignment="1">
      <alignment horizontal="center" vertical="center"/>
    </xf>
    <xf numFmtId="0" fontId="8" fillId="2" borderId="19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176" fontId="8" fillId="0" borderId="15" xfId="1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14" xfId="1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1" fontId="8" fillId="0" borderId="27" xfId="1" applyNumberFormat="1" applyFont="1" applyBorder="1" applyAlignment="1">
      <alignment horizontal="center" vertical="center"/>
    </xf>
    <xf numFmtId="176" fontId="8" fillId="0" borderId="28" xfId="1" applyNumberFormat="1" applyFont="1" applyBorder="1" applyAlignment="1">
      <alignment horizontal="center" vertical="center"/>
    </xf>
    <xf numFmtId="2" fontId="8" fillId="0" borderId="29" xfId="0" applyNumberFormat="1" applyFont="1" applyBorder="1" applyAlignment="1">
      <alignment horizontal="center" vertical="center"/>
    </xf>
    <xf numFmtId="2" fontId="8" fillId="0" borderId="27" xfId="1" applyNumberFormat="1" applyFont="1" applyBorder="1" applyAlignment="1">
      <alignment horizontal="center" vertical="center"/>
    </xf>
    <xf numFmtId="2" fontId="8" fillId="0" borderId="30" xfId="0" applyNumberFormat="1" applyFont="1" applyBorder="1" applyAlignment="1">
      <alignment horizontal="center" vertical="center"/>
    </xf>
    <xf numFmtId="2" fontId="5" fillId="0" borderId="0" xfId="1" applyNumberFormat="1" applyFont="1" applyAlignment="1">
      <alignment horizontal="right" vertical="center"/>
    </xf>
    <xf numFmtId="2" fontId="5" fillId="0" borderId="33" xfId="1" applyNumberFormat="1" applyFont="1" applyBorder="1" applyAlignment="1">
      <alignment horizontal="center" vertical="center"/>
    </xf>
    <xf numFmtId="2" fontId="5" fillId="0" borderId="34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2" fontId="5" fillId="0" borderId="36" xfId="1" applyNumberFormat="1" applyFont="1" applyBorder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2" fontId="11" fillId="0" borderId="0" xfId="1" applyNumberFormat="1" applyFont="1" applyAlignment="1">
      <alignment horizontal="center" vertical="center"/>
    </xf>
    <xf numFmtId="178" fontId="5" fillId="0" borderId="0" xfId="2" applyNumberFormat="1" applyFont="1" applyBorder="1" applyAlignment="1">
      <alignment horizontal="center" vertical="center"/>
    </xf>
    <xf numFmtId="182" fontId="5" fillId="0" borderId="0" xfId="1" applyNumberFormat="1" applyFont="1" applyAlignment="1">
      <alignment horizontal="center" vertical="center"/>
    </xf>
    <xf numFmtId="183" fontId="5" fillId="0" borderId="0" xfId="2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189" fontId="8" fillId="2" borderId="3" xfId="1" applyNumberFormat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76" fontId="8" fillId="0" borderId="50" xfId="1" applyNumberFormat="1" applyFont="1" applyBorder="1" applyAlignment="1">
      <alignment horizontal="center" vertical="center"/>
    </xf>
    <xf numFmtId="2" fontId="8" fillId="0" borderId="48" xfId="0" applyNumberFormat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1" fontId="8" fillId="0" borderId="17" xfId="1" applyNumberFormat="1" applyFont="1" applyBorder="1" applyAlignment="1">
      <alignment horizontal="center" vertical="center"/>
    </xf>
    <xf numFmtId="176" fontId="8" fillId="0" borderId="17" xfId="1" applyNumberFormat="1" applyFont="1" applyBorder="1" applyAlignment="1">
      <alignment horizontal="center" vertical="center"/>
    </xf>
    <xf numFmtId="2" fontId="8" fillId="0" borderId="17" xfId="0" applyNumberFormat="1" applyFont="1" applyBorder="1" applyAlignment="1">
      <alignment horizontal="center" vertical="center"/>
    </xf>
    <xf numFmtId="2" fontId="8" fillId="0" borderId="17" xfId="1" applyNumberFormat="1" applyFont="1" applyBorder="1" applyAlignment="1">
      <alignment horizontal="center" vertical="center"/>
    </xf>
    <xf numFmtId="2" fontId="8" fillId="0" borderId="18" xfId="0" applyNumberFormat="1" applyFont="1" applyBorder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176" fontId="8" fillId="0" borderId="0" xfId="1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2" fontId="14" fillId="0" borderId="34" xfId="1" applyNumberFormat="1" applyFont="1" applyBorder="1" applyAlignment="1">
      <alignment horizontal="center" vertical="center"/>
    </xf>
    <xf numFmtId="0" fontId="14" fillId="0" borderId="45" xfId="0" applyFont="1" applyBorder="1">
      <alignment vertical="center"/>
    </xf>
    <xf numFmtId="186" fontId="14" fillId="0" borderId="52" xfId="0" applyNumberFormat="1" applyFont="1" applyBorder="1">
      <alignment vertical="center"/>
    </xf>
    <xf numFmtId="0" fontId="14" fillId="0" borderId="40" xfId="0" applyFont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22" fillId="0" borderId="0" xfId="0" applyFont="1">
      <alignment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26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180" fontId="6" fillId="0" borderId="37" xfId="0" applyNumberFormat="1" applyFont="1" applyBorder="1" applyAlignment="1">
      <alignment horizontal="center" vertical="center"/>
    </xf>
    <xf numFmtId="187" fontId="6" fillId="0" borderId="0" xfId="0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80" fontId="6" fillId="0" borderId="40" xfId="0" applyNumberFormat="1" applyFont="1" applyBorder="1" applyAlignment="1">
      <alignment horizontal="center" vertical="center"/>
    </xf>
    <xf numFmtId="180" fontId="6" fillId="0" borderId="42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180" fontId="6" fillId="0" borderId="43" xfId="0" applyNumberFormat="1" applyFont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187" fontId="21" fillId="2" borderId="37" xfId="0" applyNumberFormat="1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horizontal="center" vertical="center" wrapText="1"/>
    </xf>
    <xf numFmtId="0" fontId="8" fillId="0" borderId="37" xfId="1" applyFont="1" applyBorder="1" applyAlignment="1">
      <alignment horizontal="center" vertical="center"/>
    </xf>
    <xf numFmtId="0" fontId="14" fillId="0" borderId="0" xfId="0" applyFont="1">
      <alignment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191" fontId="31" fillId="0" borderId="27" xfId="0" applyNumberFormat="1" applyFont="1" applyBorder="1" applyAlignment="1">
      <alignment horizontal="center" vertical="center"/>
    </xf>
    <xf numFmtId="191" fontId="31" fillId="0" borderId="28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91" fontId="31" fillId="0" borderId="64" xfId="0" applyNumberFormat="1" applyFont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176" fontId="8" fillId="0" borderId="1" xfId="1" applyNumberFormat="1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2" fontId="14" fillId="0" borderId="3" xfId="0" applyNumberFormat="1" applyFont="1" applyBorder="1">
      <alignment vertical="center"/>
    </xf>
    <xf numFmtId="0" fontId="5" fillId="2" borderId="39" xfId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center" vertical="center" wrapText="1"/>
    </xf>
    <xf numFmtId="2" fontId="14" fillId="0" borderId="39" xfId="0" applyNumberFormat="1" applyFont="1" applyBorder="1">
      <alignment vertical="center"/>
    </xf>
    <xf numFmtId="2" fontId="14" fillId="0" borderId="40" xfId="0" applyNumberFormat="1" applyFont="1" applyBorder="1">
      <alignment vertical="center"/>
    </xf>
    <xf numFmtId="2" fontId="14" fillId="0" borderId="41" xfId="0" applyNumberFormat="1" applyFont="1" applyBorder="1">
      <alignment vertical="center"/>
    </xf>
    <xf numFmtId="2" fontId="14" fillId="0" borderId="43" xfId="0" applyNumberFormat="1" applyFont="1" applyBorder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2" fontId="14" fillId="0" borderId="1" xfId="0" applyNumberFormat="1" applyFont="1" applyBorder="1">
      <alignment vertical="center"/>
    </xf>
    <xf numFmtId="2" fontId="14" fillId="0" borderId="66" xfId="0" applyNumberFormat="1" applyFont="1" applyBorder="1">
      <alignment vertical="center"/>
    </xf>
    <xf numFmtId="2" fontId="14" fillId="0" borderId="67" xfId="0" applyNumberFormat="1" applyFont="1" applyBorder="1">
      <alignment vertical="center"/>
    </xf>
    <xf numFmtId="0" fontId="32" fillId="0" borderId="3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91" fontId="32" fillId="0" borderId="61" xfId="0" applyNumberFormat="1" applyFont="1" applyBorder="1" applyAlignment="1">
      <alignment horizontal="center" vertical="center"/>
    </xf>
    <xf numFmtId="191" fontId="32" fillId="0" borderId="60" xfId="0" applyNumberFormat="1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191" fontId="31" fillId="0" borderId="62" xfId="0" applyNumberFormat="1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3" fillId="4" borderId="57" xfId="0" applyFont="1" applyFill="1" applyBorder="1" applyAlignment="1">
      <alignment horizontal="center" vertical="center"/>
    </xf>
    <xf numFmtId="0" fontId="33" fillId="4" borderId="58" xfId="0" applyFont="1" applyFill="1" applyBorder="1" applyAlignment="1">
      <alignment horizontal="center" vertical="center"/>
    </xf>
    <xf numFmtId="2" fontId="34" fillId="4" borderId="59" xfId="0" applyNumberFormat="1" applyFont="1" applyFill="1" applyBorder="1" applyAlignment="1">
      <alignment horizontal="center" vertical="center"/>
    </xf>
    <xf numFmtId="2" fontId="34" fillId="4" borderId="47" xfId="0" applyNumberFormat="1" applyFont="1" applyFill="1" applyBorder="1" applyAlignment="1">
      <alignment horizontal="center" vertical="center"/>
    </xf>
    <xf numFmtId="2" fontId="34" fillId="4" borderId="60" xfId="0" applyNumberFormat="1" applyFont="1" applyFill="1" applyBorder="1" applyAlignment="1">
      <alignment horizontal="center" vertical="center"/>
    </xf>
    <xf numFmtId="183" fontId="6" fillId="0" borderId="0" xfId="0" applyNumberFormat="1" applyFont="1">
      <alignment vertical="center"/>
    </xf>
    <xf numFmtId="187" fontId="36" fillId="0" borderId="37" xfId="0" applyNumberFormat="1" applyFont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37" fillId="2" borderId="1" xfId="1" applyFont="1" applyFill="1" applyBorder="1" applyAlignment="1">
      <alignment horizontal="right" vertical="center"/>
    </xf>
    <xf numFmtId="192" fontId="8" fillId="2" borderId="3" xfId="1" applyNumberFormat="1" applyFont="1" applyFill="1" applyBorder="1" applyAlignment="1">
      <alignment horizontal="center" vertical="center"/>
    </xf>
    <xf numFmtId="0" fontId="8" fillId="2" borderId="70" xfId="1" applyFont="1" applyFill="1" applyBorder="1" applyAlignment="1">
      <alignment horizontal="center" vertical="center" wrapText="1"/>
    </xf>
    <xf numFmtId="0" fontId="8" fillId="0" borderId="69" xfId="1" applyFont="1" applyBorder="1" applyAlignment="1">
      <alignment horizontal="center" vertical="center"/>
    </xf>
    <xf numFmtId="180" fontId="8" fillId="0" borderId="71" xfId="1" applyNumberFormat="1" applyFont="1" applyBorder="1" applyAlignment="1">
      <alignment horizontal="center" vertical="center"/>
    </xf>
    <xf numFmtId="1" fontId="8" fillId="0" borderId="71" xfId="1" applyNumberFormat="1" applyFont="1" applyBorder="1" applyAlignment="1">
      <alignment horizontal="center" vertical="center"/>
    </xf>
    <xf numFmtId="1" fontId="8" fillId="0" borderId="72" xfId="1" applyNumberFormat="1" applyFont="1" applyBorder="1" applyAlignment="1">
      <alignment horizontal="center" vertical="center"/>
    </xf>
    <xf numFmtId="45" fontId="8" fillId="0" borderId="73" xfId="1" applyNumberFormat="1" applyFont="1" applyBorder="1" applyAlignment="1">
      <alignment horizontal="center" vertical="center"/>
    </xf>
    <xf numFmtId="45" fontId="8" fillId="0" borderId="75" xfId="1" applyNumberFormat="1" applyFont="1" applyBorder="1" applyAlignment="1">
      <alignment horizontal="center" vertical="center"/>
    </xf>
    <xf numFmtId="0" fontId="8" fillId="0" borderId="75" xfId="1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0" borderId="77" xfId="0" applyNumberFormat="1" applyFont="1" applyBorder="1" applyAlignment="1">
      <alignment horizontal="center" vertical="center"/>
    </xf>
    <xf numFmtId="2" fontId="8" fillId="0" borderId="77" xfId="1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20" xfId="1" applyNumberFormat="1" applyFont="1" applyBorder="1" applyAlignment="1">
      <alignment horizontal="center" vertical="center"/>
    </xf>
    <xf numFmtId="2" fontId="8" fillId="0" borderId="22" xfId="1" applyNumberFormat="1" applyFont="1" applyBorder="1" applyAlignment="1">
      <alignment horizontal="center" vertical="center"/>
    </xf>
    <xf numFmtId="2" fontId="8" fillId="0" borderId="26" xfId="1" applyNumberFormat="1" applyFont="1" applyBorder="1" applyAlignment="1">
      <alignment horizontal="center" vertical="center"/>
    </xf>
    <xf numFmtId="193" fontId="8" fillId="2" borderId="3" xfId="1" applyNumberFormat="1" applyFont="1" applyFill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36" fillId="0" borderId="37" xfId="0" applyNumberFormat="1" applyFont="1" applyBorder="1" applyAlignment="1">
      <alignment horizontal="center" vertical="center" shrinkToFit="1"/>
    </xf>
    <xf numFmtId="0" fontId="34" fillId="5" borderId="0" xfId="0" applyFont="1" applyFill="1" applyAlignment="1">
      <alignment horizontal="center" vertical="center"/>
    </xf>
    <xf numFmtId="2" fontId="32" fillId="3" borderId="27" xfId="0" applyNumberFormat="1" applyFont="1" applyFill="1" applyBorder="1" applyAlignment="1">
      <alignment horizontal="center" vertical="center"/>
    </xf>
    <xf numFmtId="176" fontId="32" fillId="3" borderId="27" xfId="0" applyNumberFormat="1" applyFont="1" applyFill="1" applyBorder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80" fontId="8" fillId="0" borderId="72" xfId="1" applyNumberFormat="1" applyFont="1" applyBorder="1" applyAlignment="1">
      <alignment horizontal="center" vertical="center"/>
    </xf>
    <xf numFmtId="45" fontId="8" fillId="0" borderId="76" xfId="1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190" fontId="24" fillId="0" borderId="37" xfId="0" applyNumberFormat="1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85" fontId="39" fillId="0" borderId="4" xfId="0" applyNumberFormat="1" applyFont="1" applyBorder="1" applyAlignment="1">
      <alignment horizontal="left" vertical="center"/>
    </xf>
    <xf numFmtId="185" fontId="39" fillId="0" borderId="0" xfId="0" applyNumberFormat="1" applyFont="1" applyAlignment="1">
      <alignment horizontal="left" vertical="center"/>
    </xf>
    <xf numFmtId="185" fontId="39" fillId="0" borderId="5" xfId="0" applyNumberFormat="1" applyFont="1" applyBorder="1" applyAlignment="1">
      <alignment horizontal="left" vertical="center"/>
    </xf>
    <xf numFmtId="177" fontId="21" fillId="2" borderId="25" xfId="0" applyNumberFormat="1" applyFont="1" applyFill="1" applyBorder="1" applyAlignment="1">
      <alignment horizontal="center" vertical="center"/>
    </xf>
    <xf numFmtId="177" fontId="21" fillId="2" borderId="17" xfId="0" applyNumberFormat="1" applyFont="1" applyFill="1" applyBorder="1" applyAlignment="1">
      <alignment horizontal="center" vertical="center"/>
    </xf>
    <xf numFmtId="177" fontId="21" fillId="2" borderId="18" xfId="0" applyNumberFormat="1" applyFont="1" applyFill="1" applyBorder="1" applyAlignment="1">
      <alignment horizontal="center" vertical="center"/>
    </xf>
    <xf numFmtId="177" fontId="21" fillId="2" borderId="8" xfId="0" applyNumberFormat="1" applyFont="1" applyFill="1" applyBorder="1" applyAlignment="1">
      <alignment horizontal="center" vertical="center"/>
    </xf>
    <xf numFmtId="177" fontId="21" fillId="2" borderId="9" xfId="0" applyNumberFormat="1" applyFont="1" applyFill="1" applyBorder="1" applyAlignment="1">
      <alignment horizontal="center" vertical="center"/>
    </xf>
    <xf numFmtId="177" fontId="21" fillId="2" borderId="10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9" fontId="13" fillId="0" borderId="4" xfId="0" applyNumberFormat="1" applyFont="1" applyBorder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/>
    </xf>
    <xf numFmtId="0" fontId="8" fillId="0" borderId="25" xfId="1" applyFont="1" applyBorder="1" applyAlignment="1">
      <alignment horizontal="left" vertical="top" wrapText="1"/>
    </xf>
    <xf numFmtId="0" fontId="8" fillId="0" borderId="17" xfId="1" applyFont="1" applyBorder="1" applyAlignment="1">
      <alignment horizontal="left" vertical="top"/>
    </xf>
    <xf numFmtId="0" fontId="8" fillId="0" borderId="18" xfId="1" applyFont="1" applyBorder="1" applyAlignment="1">
      <alignment horizontal="left" vertical="top"/>
    </xf>
    <xf numFmtId="0" fontId="8" fillId="0" borderId="4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8" fillId="0" borderId="9" xfId="1" applyFont="1" applyBorder="1" applyAlignment="1">
      <alignment horizontal="left" vertical="top"/>
    </xf>
    <xf numFmtId="0" fontId="8" fillId="0" borderId="10" xfId="1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2" borderId="25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184" fontId="14" fillId="0" borderId="37" xfId="0" applyNumberFormat="1" applyFont="1" applyBorder="1" applyAlignment="1">
      <alignment horizontal="center" vertical="center"/>
    </xf>
    <xf numFmtId="184" fontId="14" fillId="0" borderId="40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180" fontId="14" fillId="0" borderId="42" xfId="0" applyNumberFormat="1" applyFont="1" applyBorder="1" applyAlignment="1">
      <alignment horizontal="center" vertical="center"/>
    </xf>
    <xf numFmtId="180" fontId="14" fillId="0" borderId="43" xfId="0" applyNumberFormat="1" applyFont="1" applyBorder="1" applyAlignment="1">
      <alignment horizontal="center" vertical="center"/>
    </xf>
    <xf numFmtId="185" fontId="12" fillId="0" borderId="0" xfId="0" applyNumberFormat="1" applyFont="1" applyAlignment="1">
      <alignment horizontal="left" vertical="center"/>
    </xf>
    <xf numFmtId="185" fontId="12" fillId="0" borderId="5" xfId="0" applyNumberFormat="1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10" fontId="8" fillId="0" borderId="5" xfId="1" applyNumberFormat="1" applyFont="1" applyBorder="1" applyAlignment="1">
      <alignment horizontal="center" vertical="center"/>
    </xf>
    <xf numFmtId="10" fontId="8" fillId="0" borderId="10" xfId="1" applyNumberFormat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8" fillId="2" borderId="73" xfId="1" applyFont="1" applyFill="1" applyBorder="1" applyAlignment="1">
      <alignment horizontal="center" vertical="center" wrapText="1"/>
    </xf>
    <xf numFmtId="0" fontId="8" fillId="2" borderId="74" xfId="1" applyFont="1" applyFill="1" applyBorder="1" applyAlignment="1">
      <alignment horizontal="center" vertical="center" wrapText="1"/>
    </xf>
    <xf numFmtId="0" fontId="8" fillId="2" borderId="68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20" fillId="0" borderId="25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18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indent="1"/>
    </xf>
    <xf numFmtId="181" fontId="7" fillId="0" borderId="2" xfId="0" applyNumberFormat="1" applyFont="1" applyBorder="1" applyAlignment="1">
      <alignment horizontal="left" vertical="center" wrapText="1" indent="1"/>
    </xf>
    <xf numFmtId="181" fontId="7" fillId="0" borderId="3" xfId="0" applyNumberFormat="1" applyFont="1" applyBorder="1" applyAlignment="1">
      <alignment horizontal="left" vertical="center" wrapText="1" indent="1"/>
    </xf>
    <xf numFmtId="188" fontId="5" fillId="0" borderId="9" xfId="0" applyNumberFormat="1" applyFont="1" applyBorder="1" applyAlignment="1">
      <alignment horizontal="left" vertical="center" wrapText="1" indent="1"/>
    </xf>
    <xf numFmtId="0" fontId="43" fillId="0" borderId="2" xfId="0" applyFont="1" applyBorder="1" applyAlignment="1">
      <alignment horizontal="left" vertical="center" indent="1"/>
    </xf>
    <xf numFmtId="0" fontId="43" fillId="0" borderId="3" xfId="0" applyFont="1" applyBorder="1" applyAlignment="1">
      <alignment horizontal="left" vertical="center" inden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14" fillId="0" borderId="54" xfId="4" applyFont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/>
    </xf>
    <xf numFmtId="0" fontId="33" fillId="4" borderId="50" xfId="0" applyFont="1" applyFill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9" fillId="4" borderId="53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/>
    </xf>
    <xf numFmtId="0" fontId="19" fillId="4" borderId="5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40" fillId="0" borderId="2" xfId="0" applyFont="1" applyBorder="1" applyAlignment="1">
      <alignment horizontal="left" vertical="center" indent="1"/>
    </xf>
    <xf numFmtId="0" fontId="40" fillId="0" borderId="3" xfId="0" applyFont="1" applyBorder="1" applyAlignment="1">
      <alignment horizontal="left" vertical="center" indent="1"/>
    </xf>
    <xf numFmtId="0" fontId="42" fillId="0" borderId="2" xfId="0" applyFont="1" applyBorder="1" applyAlignment="1">
      <alignment horizontal="left" vertical="center" indent="1"/>
    </xf>
    <xf numFmtId="0" fontId="42" fillId="0" borderId="3" xfId="0" applyFont="1" applyBorder="1" applyAlignment="1">
      <alignment horizontal="left" vertical="center" indent="1"/>
    </xf>
    <xf numFmtId="188" fontId="7" fillId="0" borderId="9" xfId="0" applyNumberFormat="1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8" fillId="0" borderId="25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10" fontId="20" fillId="0" borderId="5" xfId="1" applyNumberFormat="1" applyFont="1" applyBorder="1" applyAlignment="1">
      <alignment horizontal="center" vertical="center"/>
    </xf>
    <xf numFmtId="10" fontId="20" fillId="0" borderId="10" xfId="1" applyNumberFormat="1" applyFont="1" applyBorder="1" applyAlignment="1">
      <alignment horizontal="center" vertical="center"/>
    </xf>
    <xf numFmtId="185" fontId="12" fillId="0" borderId="4" xfId="0" applyNumberFormat="1" applyFont="1" applyBorder="1" applyAlignment="1">
      <alignment horizontal="left" vertical="center"/>
    </xf>
    <xf numFmtId="188" fontId="38" fillId="0" borderId="9" xfId="0" applyNumberFormat="1" applyFont="1" applyBorder="1" applyAlignment="1">
      <alignment horizontal="left" vertical="center" wrapText="1" indent="1"/>
    </xf>
  </cellXfs>
  <cellStyles count="6">
    <cellStyle name="백분율 2" xfId="2" xr:uid="{00000000-0005-0000-0000-000000000000}"/>
    <cellStyle name="표준" xfId="0" builtinId="0"/>
    <cellStyle name="표준 2" xfId="3" xr:uid="{00000000-0005-0000-0000-000002000000}"/>
    <cellStyle name="표준 3" xfId="4" xr:uid="{00000000-0005-0000-0000-000003000000}"/>
    <cellStyle name="표준 3 2" xfId="5" xr:uid="{00000000-0005-0000-0000-000004000000}"/>
    <cellStyle name="표준 4" xfId="1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'AUTO (2)'!$C$4:$C$20</c:f>
              <c:numCache>
                <c:formatCode>0.0_ </c:formatCode>
                <c:ptCount val="1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'AUTO (2)'!$D$4:$D$20</c:f>
              <c:numCache>
                <c:formatCode>0.00</c:formatCode>
                <c:ptCount val="17"/>
                <c:pt idx="0">
                  <c:v>0</c:v>
                </c:pt>
                <c:pt idx="1">
                  <c:v>0.45999999999999996</c:v>
                </c:pt>
                <c:pt idx="2">
                  <c:v>0.625</c:v>
                </c:pt>
                <c:pt idx="3">
                  <c:v>0.85499999999999998</c:v>
                </c:pt>
                <c:pt idx="4">
                  <c:v>1.135</c:v>
                </c:pt>
                <c:pt idx="5">
                  <c:v>1.3199999999999998</c:v>
                </c:pt>
                <c:pt idx="6">
                  <c:v>1.4300000000000002</c:v>
                </c:pt>
                <c:pt idx="7">
                  <c:v>1.5499999999999998</c:v>
                </c:pt>
                <c:pt idx="8">
                  <c:v>1.69</c:v>
                </c:pt>
                <c:pt idx="9">
                  <c:v>1.8049999999999999</c:v>
                </c:pt>
                <c:pt idx="10">
                  <c:v>1.9550000000000001</c:v>
                </c:pt>
                <c:pt idx="11">
                  <c:v>2.085</c:v>
                </c:pt>
                <c:pt idx="12">
                  <c:v>2.33</c:v>
                </c:pt>
                <c:pt idx="13">
                  <c:v>2.4450000000000003</c:v>
                </c:pt>
                <c:pt idx="14">
                  <c:v>2.5649999999999999</c:v>
                </c:pt>
                <c:pt idx="15">
                  <c:v>3.08</c:v>
                </c:pt>
                <c:pt idx="16">
                  <c:v>3.6945000000000001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C-4B03-B6DE-4E8BC96FA24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'38'!$L$10:$M$10</c:f>
              <c:numCache>
                <c:formatCode>0.00</c:formatCode>
                <c:ptCount val="2"/>
                <c:pt idx="0">
                  <c:v>0</c:v>
                </c:pt>
                <c:pt idx="1">
                  <c:v>502.5</c:v>
                </c:pt>
              </c:numCache>
            </c:numRef>
          </c:xVal>
          <c:yVal>
            <c:numRef>
              <c:f>'38'!$L$11:$M$11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0C-4B03-B6DE-4E8BC96FA24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'44'!$L$13:$M$13</c:f>
              <c:numCache>
                <c:formatCode>0.00</c:formatCode>
                <c:ptCount val="2"/>
                <c:pt idx="0">
                  <c:v>549</c:v>
                </c:pt>
                <c:pt idx="1">
                  <c:v>549</c:v>
                </c:pt>
              </c:numCache>
            </c:numRef>
          </c:xVal>
          <c:yVal>
            <c:numRef>
              <c:f>'44'!$L$14:$M$14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0C-4B03-B6DE-4E8BC96FA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8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100"/>
        <c:minorUnit val="2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AUTO!$C$4:$C$21</c:f>
              <c:numCache>
                <c:formatCode>0.0_ </c:formatCode>
                <c:ptCount val="18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AUTO!$D$4:$D$21</c:f>
              <c:numCache>
                <c:formatCode>0.00</c:formatCode>
                <c:ptCount val="18"/>
                <c:pt idx="0">
                  <c:v>0</c:v>
                </c:pt>
                <c:pt idx="1">
                  <c:v>0.04</c:v>
                </c:pt>
                <c:pt idx="2">
                  <c:v>0.17499999999999999</c:v>
                </c:pt>
                <c:pt idx="3">
                  <c:v>0.28999999999999998</c:v>
                </c:pt>
                <c:pt idx="4">
                  <c:v>0.47</c:v>
                </c:pt>
                <c:pt idx="5">
                  <c:v>0.54499999999999993</c:v>
                </c:pt>
                <c:pt idx="6">
                  <c:v>0.7</c:v>
                </c:pt>
                <c:pt idx="7">
                  <c:v>0.9</c:v>
                </c:pt>
                <c:pt idx="8">
                  <c:v>1.01</c:v>
                </c:pt>
                <c:pt idx="9">
                  <c:v>1.0350000000000001</c:v>
                </c:pt>
                <c:pt idx="10">
                  <c:v>1.105</c:v>
                </c:pt>
                <c:pt idx="11">
                  <c:v>1.2450000000000001</c:v>
                </c:pt>
                <c:pt idx="12">
                  <c:v>1.345</c:v>
                </c:pt>
                <c:pt idx="13">
                  <c:v>1.4950000000000001</c:v>
                </c:pt>
                <c:pt idx="14">
                  <c:v>1.6600000000000001</c:v>
                </c:pt>
                <c:pt idx="15">
                  <c:v>2.181</c:v>
                </c:pt>
                <c:pt idx="16">
                  <c:v>2.444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33-45DD-9529-9BBFB397B0E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'35'!$L$10:$M$10</c:f>
              <c:numCache>
                <c:formatCode>0.00</c:formatCode>
                <c:ptCount val="2"/>
                <c:pt idx="0">
                  <c:v>0</c:v>
                </c:pt>
                <c:pt idx="1">
                  <c:v>523</c:v>
                </c:pt>
              </c:numCache>
            </c:numRef>
          </c:xVal>
          <c:yVal>
            <c:numRef>
              <c:f>'35'!$L$11:$M$11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33-45DD-9529-9BBFB397B0E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'35'!$L$13:$M$13</c:f>
              <c:numCache>
                <c:formatCode>0.00</c:formatCode>
                <c:ptCount val="2"/>
                <c:pt idx="0">
                  <c:v>523</c:v>
                </c:pt>
                <c:pt idx="1">
                  <c:v>523</c:v>
                </c:pt>
              </c:numCache>
            </c:numRef>
          </c:xVal>
          <c:yVal>
            <c:numRef>
              <c:f>'35'!$L$14:$M$14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33-45DD-9529-9BBFB397B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8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100"/>
        <c:minorUnit val="2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'49'!$C$7:$C$33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  <c:pt idx="17">
                  <c:v>595</c:v>
                </c:pt>
                <c:pt idx="18">
                  <c:v>630</c:v>
                </c:pt>
              </c:numCache>
            </c:numRef>
          </c:xVal>
          <c:yVal>
            <c:numRef>
              <c:f>'49'!$G$7:$G$32</c:f>
              <c:numCache>
                <c:formatCode>0.00</c:formatCode>
                <c:ptCount val="26"/>
                <c:pt idx="0">
                  <c:v>0</c:v>
                </c:pt>
                <c:pt idx="1">
                  <c:v>0.125</c:v>
                </c:pt>
                <c:pt idx="2">
                  <c:v>0.29499999999999998</c:v>
                </c:pt>
                <c:pt idx="3">
                  <c:v>0.53499999999999992</c:v>
                </c:pt>
                <c:pt idx="4">
                  <c:v>0.745</c:v>
                </c:pt>
                <c:pt idx="5">
                  <c:v>0.91</c:v>
                </c:pt>
                <c:pt idx="6">
                  <c:v>1.05</c:v>
                </c:pt>
                <c:pt idx="7">
                  <c:v>1.155</c:v>
                </c:pt>
                <c:pt idx="8">
                  <c:v>1.2850000000000001</c:v>
                </c:pt>
                <c:pt idx="9">
                  <c:v>1.41</c:v>
                </c:pt>
                <c:pt idx="10">
                  <c:v>1.595</c:v>
                </c:pt>
                <c:pt idx="11">
                  <c:v>1.7450000000000001</c:v>
                </c:pt>
                <c:pt idx="12">
                  <c:v>1.93</c:v>
                </c:pt>
                <c:pt idx="13">
                  <c:v>2.0499999999999998</c:v>
                </c:pt>
                <c:pt idx="14">
                  <c:v>2.1799999999999997</c:v>
                </c:pt>
                <c:pt idx="15">
                  <c:v>2.3494999999999999</c:v>
                </c:pt>
                <c:pt idx="16">
                  <c:v>2.46</c:v>
                </c:pt>
                <c:pt idx="17">
                  <c:v>2.59</c:v>
                </c:pt>
                <c:pt idx="18">
                  <c:v>2.665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BC-4D54-B2FA-A386366A6134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'49'!$L$10:$M$10</c:f>
              <c:numCache>
                <c:formatCode>0.00</c:formatCode>
                <c:ptCount val="2"/>
                <c:pt idx="0">
                  <c:v>0</c:v>
                </c:pt>
                <c:pt idx="1">
                  <c:v>571</c:v>
                </c:pt>
              </c:numCache>
            </c:numRef>
          </c:xVal>
          <c:yVal>
            <c:numRef>
              <c:f>'49'!$L$11:$M$11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BC-4D54-B2FA-A386366A613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'49'!$L$13:$M$13</c:f>
              <c:numCache>
                <c:formatCode>0.00</c:formatCode>
                <c:ptCount val="2"/>
                <c:pt idx="0">
                  <c:v>571</c:v>
                </c:pt>
                <c:pt idx="1">
                  <c:v>571</c:v>
                </c:pt>
              </c:numCache>
            </c:numRef>
          </c:xVal>
          <c:yVal>
            <c:numRef>
              <c:f>'49'!$L$14:$M$14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BC-4D54-B2FA-A386366A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'48'!$C$7:$C$33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  <c:pt idx="17">
                  <c:v>595</c:v>
                </c:pt>
                <c:pt idx="18">
                  <c:v>630</c:v>
                </c:pt>
              </c:numCache>
            </c:numRef>
          </c:xVal>
          <c:yVal>
            <c:numRef>
              <c:f>'48'!$G$7:$G$32</c:f>
              <c:numCache>
                <c:formatCode>0.00</c:formatCode>
                <c:ptCount val="26"/>
                <c:pt idx="0">
                  <c:v>0</c:v>
                </c:pt>
                <c:pt idx="1">
                  <c:v>0.33499999999999996</c:v>
                </c:pt>
                <c:pt idx="2">
                  <c:v>0.56000000000000005</c:v>
                </c:pt>
                <c:pt idx="3">
                  <c:v>0.69</c:v>
                </c:pt>
                <c:pt idx="4">
                  <c:v>0.79500000000000004</c:v>
                </c:pt>
                <c:pt idx="5">
                  <c:v>0.92500000000000004</c:v>
                </c:pt>
                <c:pt idx="6">
                  <c:v>1.0350000000000001</c:v>
                </c:pt>
                <c:pt idx="7">
                  <c:v>1.1850000000000001</c:v>
                </c:pt>
                <c:pt idx="8">
                  <c:v>1.2999999999999998</c:v>
                </c:pt>
                <c:pt idx="9">
                  <c:v>1.425</c:v>
                </c:pt>
                <c:pt idx="10">
                  <c:v>1.5899999999999999</c:v>
                </c:pt>
                <c:pt idx="11">
                  <c:v>1.7450000000000001</c:v>
                </c:pt>
                <c:pt idx="12">
                  <c:v>1.8449999999999998</c:v>
                </c:pt>
                <c:pt idx="13">
                  <c:v>1.9750000000000001</c:v>
                </c:pt>
                <c:pt idx="14">
                  <c:v>2.125</c:v>
                </c:pt>
                <c:pt idx="15">
                  <c:v>2.2850000000000001</c:v>
                </c:pt>
                <c:pt idx="16">
                  <c:v>2.4699999999999998</c:v>
                </c:pt>
                <c:pt idx="17">
                  <c:v>2.57</c:v>
                </c:pt>
                <c:pt idx="18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0-4862-8F13-684F03A1FA83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'48'!$L$10:$M$10</c:f>
              <c:numCache>
                <c:formatCode>0.00</c:formatCode>
                <c:ptCount val="2"/>
                <c:pt idx="0">
                  <c:v>0</c:v>
                </c:pt>
                <c:pt idx="1">
                  <c:v>577</c:v>
                </c:pt>
              </c:numCache>
            </c:numRef>
          </c:xVal>
          <c:yVal>
            <c:numRef>
              <c:f>'48'!$L$11:$M$11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00-4862-8F13-684F03A1FA8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'48'!$L$13:$M$13</c:f>
              <c:numCache>
                <c:formatCode>0.00</c:formatCode>
                <c:ptCount val="2"/>
                <c:pt idx="0">
                  <c:v>577</c:v>
                </c:pt>
                <c:pt idx="1">
                  <c:v>577</c:v>
                </c:pt>
              </c:numCache>
            </c:numRef>
          </c:xVal>
          <c:yVal>
            <c:numRef>
              <c:f>'48'!$L$14:$M$14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00-4862-8F13-684F03A1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'47'!$C$7:$C$33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  <c:pt idx="17">
                  <c:v>595</c:v>
                </c:pt>
                <c:pt idx="18">
                  <c:v>630</c:v>
                </c:pt>
              </c:numCache>
            </c:numRef>
          </c:xVal>
          <c:yVal>
            <c:numRef>
              <c:f>'47'!$G$7:$G$32</c:f>
              <c:numCache>
                <c:formatCode>0.00</c:formatCode>
                <c:ptCount val="26"/>
                <c:pt idx="0">
                  <c:v>0</c:v>
                </c:pt>
                <c:pt idx="1">
                  <c:v>0.27500000000000002</c:v>
                </c:pt>
                <c:pt idx="2">
                  <c:v>0.51500000000000001</c:v>
                </c:pt>
                <c:pt idx="3">
                  <c:v>0.85499999999999998</c:v>
                </c:pt>
                <c:pt idx="4">
                  <c:v>0.99</c:v>
                </c:pt>
                <c:pt idx="5">
                  <c:v>1.1200000000000001</c:v>
                </c:pt>
                <c:pt idx="6">
                  <c:v>1.25</c:v>
                </c:pt>
                <c:pt idx="7">
                  <c:v>1.415</c:v>
                </c:pt>
                <c:pt idx="8">
                  <c:v>1.5649999999999999</c:v>
                </c:pt>
                <c:pt idx="9">
                  <c:v>1.6600000000000001</c:v>
                </c:pt>
                <c:pt idx="10">
                  <c:v>1.79</c:v>
                </c:pt>
                <c:pt idx="11">
                  <c:v>1.915</c:v>
                </c:pt>
                <c:pt idx="12">
                  <c:v>2.04</c:v>
                </c:pt>
                <c:pt idx="13">
                  <c:v>2.13</c:v>
                </c:pt>
                <c:pt idx="14">
                  <c:v>2.27</c:v>
                </c:pt>
                <c:pt idx="15">
                  <c:v>2.3849999999999998</c:v>
                </c:pt>
                <c:pt idx="16">
                  <c:v>2.5099999999999998</c:v>
                </c:pt>
                <c:pt idx="17">
                  <c:v>2.6100000000000003</c:v>
                </c:pt>
                <c:pt idx="18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D-4AF0-A0B9-B0D26C158091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'47'!$L$10:$M$10</c:f>
              <c:numCache>
                <c:formatCode>0.00</c:formatCode>
                <c:ptCount val="2"/>
                <c:pt idx="0">
                  <c:v>0</c:v>
                </c:pt>
                <c:pt idx="1">
                  <c:v>562</c:v>
                </c:pt>
              </c:numCache>
            </c:numRef>
          </c:xVal>
          <c:yVal>
            <c:numRef>
              <c:f>'47'!$L$11:$M$11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BD-4AF0-A0B9-B0D26C15809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'47'!$L$13:$M$13</c:f>
              <c:numCache>
                <c:formatCode>0.00</c:formatCode>
                <c:ptCount val="2"/>
                <c:pt idx="0">
                  <c:v>562</c:v>
                </c:pt>
                <c:pt idx="1">
                  <c:v>562</c:v>
                </c:pt>
              </c:numCache>
            </c:numRef>
          </c:xVal>
          <c:yVal>
            <c:numRef>
              <c:f>'47'!$L$14:$M$14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BD-4AF0-A0B9-B0D26C15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'46'!$C$7:$C$33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  <c:pt idx="17">
                  <c:v>595</c:v>
                </c:pt>
                <c:pt idx="18">
                  <c:v>630</c:v>
                </c:pt>
              </c:numCache>
            </c:numRef>
          </c:xVal>
          <c:yVal>
            <c:numRef>
              <c:f>'46'!$G$7:$G$32</c:f>
              <c:numCache>
                <c:formatCode>0.00</c:formatCode>
                <c:ptCount val="26"/>
                <c:pt idx="0">
                  <c:v>0</c:v>
                </c:pt>
                <c:pt idx="1">
                  <c:v>0.28499999999999998</c:v>
                </c:pt>
                <c:pt idx="2">
                  <c:v>0.52</c:v>
                </c:pt>
                <c:pt idx="3">
                  <c:v>0.66500000000000004</c:v>
                </c:pt>
                <c:pt idx="4">
                  <c:v>0.85499999999999998</c:v>
                </c:pt>
                <c:pt idx="5">
                  <c:v>0.98</c:v>
                </c:pt>
                <c:pt idx="6">
                  <c:v>1.125</c:v>
                </c:pt>
                <c:pt idx="7">
                  <c:v>1.3050000000000002</c:v>
                </c:pt>
                <c:pt idx="8">
                  <c:v>1.42</c:v>
                </c:pt>
                <c:pt idx="9">
                  <c:v>1.5449999999999999</c:v>
                </c:pt>
                <c:pt idx="10">
                  <c:v>1.69</c:v>
                </c:pt>
                <c:pt idx="11">
                  <c:v>1.7850000000000001</c:v>
                </c:pt>
                <c:pt idx="12">
                  <c:v>1.91</c:v>
                </c:pt>
                <c:pt idx="13">
                  <c:v>2.0299999999999998</c:v>
                </c:pt>
                <c:pt idx="14">
                  <c:v>2.1800000000000002</c:v>
                </c:pt>
                <c:pt idx="15">
                  <c:v>2.3709999999999996</c:v>
                </c:pt>
                <c:pt idx="16">
                  <c:v>2.4575</c:v>
                </c:pt>
                <c:pt idx="17">
                  <c:v>2.58</c:v>
                </c:pt>
                <c:pt idx="18">
                  <c:v>2.6399999999999997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AA-47A7-AAC3-4A2791969373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'46'!$L$10:$M$10</c:f>
              <c:numCache>
                <c:formatCode>0.00</c:formatCode>
                <c:ptCount val="2"/>
                <c:pt idx="0">
                  <c:v>0</c:v>
                </c:pt>
                <c:pt idx="1">
                  <c:v>576</c:v>
                </c:pt>
              </c:numCache>
            </c:numRef>
          </c:xVal>
          <c:yVal>
            <c:numRef>
              <c:f>'46'!$L$11:$M$11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AA-47A7-AAC3-4A279196937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'46'!$L$13:$M$13</c:f>
              <c:numCache>
                <c:formatCode>0.00</c:formatCode>
                <c:ptCount val="2"/>
                <c:pt idx="0">
                  <c:v>576</c:v>
                </c:pt>
                <c:pt idx="1">
                  <c:v>576</c:v>
                </c:pt>
              </c:numCache>
            </c:numRef>
          </c:xVal>
          <c:yVal>
            <c:numRef>
              <c:f>'46'!$L$14:$M$14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AA-47A7-AAC3-4A279196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'45'!$C$7:$C$33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  <c:pt idx="17">
                  <c:v>595</c:v>
                </c:pt>
              </c:numCache>
            </c:numRef>
          </c:xVal>
          <c:yVal>
            <c:numRef>
              <c:f>'45'!$G$7:$G$32</c:f>
              <c:numCache>
                <c:formatCode>0.00</c:formatCode>
                <c:ptCount val="26"/>
                <c:pt idx="0">
                  <c:v>0</c:v>
                </c:pt>
                <c:pt idx="1">
                  <c:v>0.24</c:v>
                </c:pt>
                <c:pt idx="2">
                  <c:v>0.39500000000000002</c:v>
                </c:pt>
                <c:pt idx="3">
                  <c:v>0.59499999999999997</c:v>
                </c:pt>
                <c:pt idx="4">
                  <c:v>0.88500000000000001</c:v>
                </c:pt>
                <c:pt idx="5">
                  <c:v>1.0449999999999999</c:v>
                </c:pt>
                <c:pt idx="6">
                  <c:v>1.23</c:v>
                </c:pt>
                <c:pt idx="7">
                  <c:v>1.4350000000000001</c:v>
                </c:pt>
                <c:pt idx="8">
                  <c:v>1.5549999999999999</c:v>
                </c:pt>
                <c:pt idx="9">
                  <c:v>1.67</c:v>
                </c:pt>
                <c:pt idx="10">
                  <c:v>1.7999999999999998</c:v>
                </c:pt>
                <c:pt idx="11">
                  <c:v>1.94</c:v>
                </c:pt>
                <c:pt idx="12">
                  <c:v>2.1</c:v>
                </c:pt>
                <c:pt idx="13">
                  <c:v>2.23</c:v>
                </c:pt>
                <c:pt idx="14">
                  <c:v>2.3199999999999998</c:v>
                </c:pt>
                <c:pt idx="15">
                  <c:v>2.4299999999999997</c:v>
                </c:pt>
                <c:pt idx="16">
                  <c:v>2.5149999999999997</c:v>
                </c:pt>
                <c:pt idx="17">
                  <c:v>2.605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B7-4E32-81AB-97DA094EF08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'45'!$L$10:$M$10</c:f>
              <c:numCache>
                <c:formatCode>0.00</c:formatCode>
                <c:ptCount val="2"/>
                <c:pt idx="0">
                  <c:v>0</c:v>
                </c:pt>
                <c:pt idx="1">
                  <c:v>552</c:v>
                </c:pt>
              </c:numCache>
            </c:numRef>
          </c:xVal>
          <c:yVal>
            <c:numRef>
              <c:f>'45'!$L$11:$M$11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B7-4E32-81AB-97DA094EF0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'45'!$L$13:$M$13</c:f>
              <c:numCache>
                <c:formatCode>0.00</c:formatCode>
                <c:ptCount val="2"/>
                <c:pt idx="0">
                  <c:v>552</c:v>
                </c:pt>
                <c:pt idx="1">
                  <c:v>552</c:v>
                </c:pt>
              </c:numCache>
            </c:numRef>
          </c:xVal>
          <c:yVal>
            <c:numRef>
              <c:f>'45'!$L$14:$M$14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B7-4E32-81AB-97DA094EF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'44'!$C$7:$C$33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  <c:pt idx="17">
                  <c:v>595</c:v>
                </c:pt>
              </c:numCache>
            </c:numRef>
          </c:xVal>
          <c:yVal>
            <c:numRef>
              <c:f>'44'!$G$7:$G$32</c:f>
              <c:numCache>
                <c:formatCode>0.00</c:formatCode>
                <c:ptCount val="26"/>
                <c:pt idx="0">
                  <c:v>0</c:v>
                </c:pt>
                <c:pt idx="1">
                  <c:v>0.23499999999999999</c:v>
                </c:pt>
                <c:pt idx="2">
                  <c:v>0.39500000000000002</c:v>
                </c:pt>
                <c:pt idx="3">
                  <c:v>0.55499999999999994</c:v>
                </c:pt>
                <c:pt idx="4">
                  <c:v>0.73499999999999999</c:v>
                </c:pt>
                <c:pt idx="5">
                  <c:v>0.88500000000000001</c:v>
                </c:pt>
                <c:pt idx="6">
                  <c:v>1.0350000000000001</c:v>
                </c:pt>
                <c:pt idx="7">
                  <c:v>1.2749999999999999</c:v>
                </c:pt>
                <c:pt idx="8">
                  <c:v>1.415</c:v>
                </c:pt>
                <c:pt idx="9">
                  <c:v>1.5699999999999998</c:v>
                </c:pt>
                <c:pt idx="10">
                  <c:v>1.7450000000000001</c:v>
                </c:pt>
                <c:pt idx="11">
                  <c:v>1.88</c:v>
                </c:pt>
                <c:pt idx="12">
                  <c:v>2.0350000000000001</c:v>
                </c:pt>
                <c:pt idx="13">
                  <c:v>2.1749999999999998</c:v>
                </c:pt>
                <c:pt idx="14">
                  <c:v>2.2999999999999998</c:v>
                </c:pt>
                <c:pt idx="15">
                  <c:v>2.4249999999999998</c:v>
                </c:pt>
                <c:pt idx="16">
                  <c:v>2.5099999999999998</c:v>
                </c:pt>
                <c:pt idx="17">
                  <c:v>2.58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CE-4622-89F9-444FDB7C927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'44'!$L$10:$M$10</c:f>
              <c:numCache>
                <c:formatCode>0.00</c:formatCode>
                <c:ptCount val="2"/>
                <c:pt idx="0">
                  <c:v>0</c:v>
                </c:pt>
                <c:pt idx="1">
                  <c:v>549</c:v>
                </c:pt>
              </c:numCache>
            </c:numRef>
          </c:xVal>
          <c:yVal>
            <c:numRef>
              <c:f>'44'!$L$11:$M$11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CE-4622-89F9-444FDB7C927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'44'!$L$13:$M$13</c:f>
              <c:numCache>
                <c:formatCode>0.00</c:formatCode>
                <c:ptCount val="2"/>
                <c:pt idx="0">
                  <c:v>549</c:v>
                </c:pt>
                <c:pt idx="1">
                  <c:v>549</c:v>
                </c:pt>
              </c:numCache>
            </c:numRef>
          </c:xVal>
          <c:yVal>
            <c:numRef>
              <c:f>'44'!$L$14:$M$14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CE-4622-89F9-444FDB7C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'43'!$C$7:$C$33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'43'!$G$7:$G$32</c:f>
              <c:numCache>
                <c:formatCode>0.00</c:formatCode>
                <c:ptCount val="26"/>
                <c:pt idx="0">
                  <c:v>0</c:v>
                </c:pt>
                <c:pt idx="1">
                  <c:v>0.27</c:v>
                </c:pt>
                <c:pt idx="2">
                  <c:v>0.48</c:v>
                </c:pt>
                <c:pt idx="3">
                  <c:v>0.75</c:v>
                </c:pt>
                <c:pt idx="4">
                  <c:v>1.1099999999999999</c:v>
                </c:pt>
                <c:pt idx="5">
                  <c:v>1.2650000000000001</c:v>
                </c:pt>
                <c:pt idx="6">
                  <c:v>1.41</c:v>
                </c:pt>
                <c:pt idx="7">
                  <c:v>1.5249999999999999</c:v>
                </c:pt>
                <c:pt idx="8">
                  <c:v>1.635</c:v>
                </c:pt>
                <c:pt idx="9">
                  <c:v>1.8250000000000002</c:v>
                </c:pt>
                <c:pt idx="10">
                  <c:v>2.0499999999999998</c:v>
                </c:pt>
                <c:pt idx="11">
                  <c:v>2.16</c:v>
                </c:pt>
                <c:pt idx="12">
                  <c:v>2.2599999999999998</c:v>
                </c:pt>
                <c:pt idx="13">
                  <c:v>2.335</c:v>
                </c:pt>
                <c:pt idx="14">
                  <c:v>2.4350000000000001</c:v>
                </c:pt>
                <c:pt idx="15">
                  <c:v>2.5114999999999998</c:v>
                </c:pt>
                <c:pt idx="16">
                  <c:v>2.5999999999999996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D-4EAB-A11D-EF0575835FC9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'43'!$L$10:$M$10</c:f>
              <c:numCache>
                <c:formatCode>0.00</c:formatCode>
                <c:ptCount val="2"/>
                <c:pt idx="0">
                  <c:v>0</c:v>
                </c:pt>
                <c:pt idx="1">
                  <c:v>528</c:v>
                </c:pt>
              </c:numCache>
            </c:numRef>
          </c:xVal>
          <c:yVal>
            <c:numRef>
              <c:f>'43'!$L$11:$M$11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ED-4EAB-A11D-EF0575835FC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'43'!$L$13:$M$13</c:f>
              <c:numCache>
                <c:formatCode>0.00</c:formatCode>
                <c:ptCount val="2"/>
                <c:pt idx="0">
                  <c:v>528</c:v>
                </c:pt>
                <c:pt idx="1">
                  <c:v>528</c:v>
                </c:pt>
              </c:numCache>
            </c:numRef>
          </c:xVal>
          <c:yVal>
            <c:numRef>
              <c:f>'43'!$L$14:$M$14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ED-4EAB-A11D-EF057583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'42'!$C$7:$C$33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'42'!$G$7:$G$32</c:f>
              <c:numCache>
                <c:formatCode>0.00</c:formatCode>
                <c:ptCount val="26"/>
                <c:pt idx="0">
                  <c:v>0</c:v>
                </c:pt>
                <c:pt idx="1">
                  <c:v>0.33999999999999997</c:v>
                </c:pt>
                <c:pt idx="2">
                  <c:v>0.52500000000000002</c:v>
                </c:pt>
                <c:pt idx="3">
                  <c:v>0.78500000000000003</c:v>
                </c:pt>
                <c:pt idx="4">
                  <c:v>1.03</c:v>
                </c:pt>
                <c:pt idx="5">
                  <c:v>1.27</c:v>
                </c:pt>
                <c:pt idx="6">
                  <c:v>1.395</c:v>
                </c:pt>
                <c:pt idx="7">
                  <c:v>1.52</c:v>
                </c:pt>
                <c:pt idx="8">
                  <c:v>1.65</c:v>
                </c:pt>
                <c:pt idx="9">
                  <c:v>1.76</c:v>
                </c:pt>
                <c:pt idx="10">
                  <c:v>1.875</c:v>
                </c:pt>
                <c:pt idx="11">
                  <c:v>1.9950000000000001</c:v>
                </c:pt>
                <c:pt idx="12">
                  <c:v>2.13</c:v>
                </c:pt>
                <c:pt idx="13">
                  <c:v>2.2649999999999997</c:v>
                </c:pt>
                <c:pt idx="14">
                  <c:v>2.375</c:v>
                </c:pt>
                <c:pt idx="15">
                  <c:v>2.52</c:v>
                </c:pt>
                <c:pt idx="16">
                  <c:v>2.585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CF-4FFB-B096-7E47DB80C76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'42'!$L$10:$M$10</c:f>
              <c:numCache>
                <c:formatCode>0.00</c:formatCode>
                <c:ptCount val="2"/>
                <c:pt idx="0">
                  <c:v>0</c:v>
                </c:pt>
                <c:pt idx="1">
                  <c:v>533</c:v>
                </c:pt>
              </c:numCache>
            </c:numRef>
          </c:xVal>
          <c:yVal>
            <c:numRef>
              <c:f>'42'!$L$11:$M$11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CF-4FFB-B096-7E47DB80C76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'42'!$L$13:$M$13</c:f>
              <c:numCache>
                <c:formatCode>0.00</c:formatCode>
                <c:ptCount val="2"/>
                <c:pt idx="0">
                  <c:v>533</c:v>
                </c:pt>
                <c:pt idx="1">
                  <c:v>533</c:v>
                </c:pt>
              </c:numCache>
            </c:numRef>
          </c:xVal>
          <c:yVal>
            <c:numRef>
              <c:f>'42'!$L$14:$M$14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CF-4FFB-B096-7E47DB80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'41'!$C$7:$C$33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'41'!$G$7:$G$32</c:f>
              <c:numCache>
                <c:formatCode>0.00</c:formatCode>
                <c:ptCount val="26"/>
                <c:pt idx="0">
                  <c:v>0</c:v>
                </c:pt>
                <c:pt idx="1">
                  <c:v>0.26500000000000001</c:v>
                </c:pt>
                <c:pt idx="2">
                  <c:v>0.5</c:v>
                </c:pt>
                <c:pt idx="3">
                  <c:v>0.78499999999999992</c:v>
                </c:pt>
                <c:pt idx="4">
                  <c:v>1.06</c:v>
                </c:pt>
                <c:pt idx="5">
                  <c:v>1.33</c:v>
                </c:pt>
                <c:pt idx="6">
                  <c:v>1.4350000000000001</c:v>
                </c:pt>
                <c:pt idx="7">
                  <c:v>1.5950000000000002</c:v>
                </c:pt>
                <c:pt idx="8">
                  <c:v>1.7149999999999999</c:v>
                </c:pt>
                <c:pt idx="9">
                  <c:v>1.78</c:v>
                </c:pt>
                <c:pt idx="10">
                  <c:v>1.88</c:v>
                </c:pt>
                <c:pt idx="11">
                  <c:v>2.0350000000000001</c:v>
                </c:pt>
                <c:pt idx="12">
                  <c:v>2.1799999999999997</c:v>
                </c:pt>
                <c:pt idx="13">
                  <c:v>2.29</c:v>
                </c:pt>
                <c:pt idx="14">
                  <c:v>2.4050000000000002</c:v>
                </c:pt>
                <c:pt idx="15">
                  <c:v>2.5099999999999998</c:v>
                </c:pt>
                <c:pt idx="16">
                  <c:v>2.5949999999999998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D-4A5A-97A1-9092E05CF72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'41'!$L$10:$M$10</c:f>
              <c:numCache>
                <c:formatCode>0.00</c:formatCode>
                <c:ptCount val="2"/>
                <c:pt idx="0">
                  <c:v>0</c:v>
                </c:pt>
                <c:pt idx="1">
                  <c:v>526</c:v>
                </c:pt>
              </c:numCache>
            </c:numRef>
          </c:xVal>
          <c:yVal>
            <c:numRef>
              <c:f>'41'!$L$11:$M$11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BD-4A5A-97A1-9092E05CF727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'41'!$L$13:$M$13</c:f>
              <c:numCache>
                <c:formatCode>0.00</c:formatCode>
                <c:ptCount val="2"/>
                <c:pt idx="0">
                  <c:v>526</c:v>
                </c:pt>
                <c:pt idx="1">
                  <c:v>526</c:v>
                </c:pt>
              </c:numCache>
            </c:numRef>
          </c:xVal>
          <c:yVal>
            <c:numRef>
              <c:f>'41'!$L$14:$M$14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BD-4A5A-97A1-9092E05CF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'40'!$C$7:$C$33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'40'!$G$7:$G$32</c:f>
              <c:numCache>
                <c:formatCode>0.00</c:formatCode>
                <c:ptCount val="26"/>
                <c:pt idx="0">
                  <c:v>0</c:v>
                </c:pt>
                <c:pt idx="1">
                  <c:v>0.37</c:v>
                </c:pt>
                <c:pt idx="2">
                  <c:v>0.59499999999999997</c:v>
                </c:pt>
                <c:pt idx="3">
                  <c:v>0.97500000000000009</c:v>
                </c:pt>
                <c:pt idx="4">
                  <c:v>1.1000000000000001</c:v>
                </c:pt>
                <c:pt idx="5">
                  <c:v>1.2350000000000001</c:v>
                </c:pt>
                <c:pt idx="6">
                  <c:v>1.2849999999999999</c:v>
                </c:pt>
                <c:pt idx="7">
                  <c:v>1.3900000000000001</c:v>
                </c:pt>
                <c:pt idx="8">
                  <c:v>1.5099999999999998</c:v>
                </c:pt>
                <c:pt idx="9">
                  <c:v>1.7349999999999999</c:v>
                </c:pt>
                <c:pt idx="10">
                  <c:v>1.895</c:v>
                </c:pt>
                <c:pt idx="11">
                  <c:v>1.9950000000000001</c:v>
                </c:pt>
                <c:pt idx="12">
                  <c:v>2.2000000000000002</c:v>
                </c:pt>
                <c:pt idx="13">
                  <c:v>2.2800000000000002</c:v>
                </c:pt>
                <c:pt idx="14">
                  <c:v>2.4649999999999999</c:v>
                </c:pt>
                <c:pt idx="15">
                  <c:v>2.5649999999999999</c:v>
                </c:pt>
                <c:pt idx="16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A-48A0-89A8-A87399FBE38B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'40'!$L$10:$M$10</c:f>
              <c:numCache>
                <c:formatCode>0.00</c:formatCode>
                <c:ptCount val="2"/>
                <c:pt idx="0">
                  <c:v>0</c:v>
                </c:pt>
                <c:pt idx="1">
                  <c:v>512</c:v>
                </c:pt>
              </c:numCache>
            </c:numRef>
          </c:xVal>
          <c:yVal>
            <c:numRef>
              <c:f>'40'!$L$11:$M$11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CA-48A0-89A8-A87399FBE38B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'40'!$L$13:$M$13</c:f>
              <c:numCache>
                <c:formatCode>0.00</c:formatCode>
                <c:ptCount val="2"/>
                <c:pt idx="0">
                  <c:v>512</c:v>
                </c:pt>
                <c:pt idx="1">
                  <c:v>512</c:v>
                </c:pt>
              </c:numCache>
            </c:numRef>
          </c:xVal>
          <c:yVal>
            <c:numRef>
              <c:f>'40'!$L$14:$M$14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CA-48A0-89A8-A87399FBE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'39'!$C$7:$C$33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'39'!$G$7:$G$32</c:f>
              <c:numCache>
                <c:formatCode>0.00</c:formatCode>
                <c:ptCount val="26"/>
                <c:pt idx="0">
                  <c:v>0</c:v>
                </c:pt>
                <c:pt idx="1">
                  <c:v>0.39500000000000002</c:v>
                </c:pt>
                <c:pt idx="2">
                  <c:v>0.68500000000000005</c:v>
                </c:pt>
                <c:pt idx="3">
                  <c:v>0.875</c:v>
                </c:pt>
                <c:pt idx="4">
                  <c:v>0.95500000000000007</c:v>
                </c:pt>
                <c:pt idx="5">
                  <c:v>1.2450000000000001</c:v>
                </c:pt>
                <c:pt idx="6">
                  <c:v>1.395</c:v>
                </c:pt>
                <c:pt idx="7">
                  <c:v>1.55</c:v>
                </c:pt>
                <c:pt idx="8">
                  <c:v>1.73</c:v>
                </c:pt>
                <c:pt idx="9">
                  <c:v>1.8199999999999998</c:v>
                </c:pt>
                <c:pt idx="10">
                  <c:v>1.94</c:v>
                </c:pt>
                <c:pt idx="11">
                  <c:v>2.06</c:v>
                </c:pt>
                <c:pt idx="12">
                  <c:v>2.19</c:v>
                </c:pt>
                <c:pt idx="13">
                  <c:v>2.2750000000000004</c:v>
                </c:pt>
                <c:pt idx="14">
                  <c:v>2.3650000000000002</c:v>
                </c:pt>
                <c:pt idx="15">
                  <c:v>2.6295000000000002</c:v>
                </c:pt>
                <c:pt idx="16">
                  <c:v>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1D-4C04-B2F6-2F5B414421CC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'39'!$L$10:$M$10</c:f>
              <c:numCache>
                <c:formatCode>0.00</c:formatCode>
                <c:ptCount val="2"/>
                <c:pt idx="0">
                  <c:v>0</c:v>
                </c:pt>
                <c:pt idx="1">
                  <c:v>507</c:v>
                </c:pt>
              </c:numCache>
            </c:numRef>
          </c:xVal>
          <c:yVal>
            <c:numRef>
              <c:f>'39'!$L$11:$M$11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1D-4C04-B2F6-2F5B414421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'39'!$L$13:$M$13</c:f>
              <c:numCache>
                <c:formatCode>0.00</c:formatCode>
                <c:ptCount val="2"/>
                <c:pt idx="0">
                  <c:v>507</c:v>
                </c:pt>
                <c:pt idx="1">
                  <c:v>507</c:v>
                </c:pt>
              </c:numCache>
            </c:numRef>
          </c:xVal>
          <c:yVal>
            <c:numRef>
              <c:f>'39'!$L$14:$M$14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1D-4C04-B2F6-2F5B41442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'38'!$C$7:$C$33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'38'!$G$7:$G$32</c:f>
              <c:numCache>
                <c:formatCode>0.00</c:formatCode>
                <c:ptCount val="26"/>
                <c:pt idx="0">
                  <c:v>0</c:v>
                </c:pt>
                <c:pt idx="1">
                  <c:v>0.28000000000000003</c:v>
                </c:pt>
                <c:pt idx="2">
                  <c:v>0.61</c:v>
                </c:pt>
                <c:pt idx="3">
                  <c:v>0.93500000000000005</c:v>
                </c:pt>
                <c:pt idx="4">
                  <c:v>1.2450000000000001</c:v>
                </c:pt>
                <c:pt idx="5">
                  <c:v>1.395</c:v>
                </c:pt>
                <c:pt idx="6">
                  <c:v>1.51</c:v>
                </c:pt>
                <c:pt idx="7">
                  <c:v>1.66</c:v>
                </c:pt>
                <c:pt idx="8">
                  <c:v>1.72</c:v>
                </c:pt>
                <c:pt idx="9">
                  <c:v>1.8450000000000002</c:v>
                </c:pt>
                <c:pt idx="10">
                  <c:v>1.98</c:v>
                </c:pt>
                <c:pt idx="11">
                  <c:v>2.1849999999999996</c:v>
                </c:pt>
                <c:pt idx="12">
                  <c:v>2.27</c:v>
                </c:pt>
                <c:pt idx="13">
                  <c:v>2.39</c:v>
                </c:pt>
                <c:pt idx="14">
                  <c:v>2.5049999999999999</c:v>
                </c:pt>
                <c:pt idx="15">
                  <c:v>2.5700000000000003</c:v>
                </c:pt>
                <c:pt idx="16">
                  <c:v>2.6550000000000002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94-4CF4-A037-F0D827A3DB2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'38'!$L$10:$M$10</c:f>
              <c:numCache>
                <c:formatCode>0.00</c:formatCode>
                <c:ptCount val="2"/>
                <c:pt idx="0">
                  <c:v>0</c:v>
                </c:pt>
                <c:pt idx="1">
                  <c:v>502.5</c:v>
                </c:pt>
              </c:numCache>
            </c:numRef>
          </c:xVal>
          <c:yVal>
            <c:numRef>
              <c:f>'38'!$L$11:$M$11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94-4CF4-A037-F0D827A3DB2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'38'!$L$13:$M$13</c:f>
              <c:numCache>
                <c:formatCode>0.00</c:formatCode>
                <c:ptCount val="2"/>
                <c:pt idx="0">
                  <c:v>502.5</c:v>
                </c:pt>
                <c:pt idx="1">
                  <c:v>502.5</c:v>
                </c:pt>
              </c:numCache>
            </c:numRef>
          </c:xVal>
          <c:yVal>
            <c:numRef>
              <c:f>'38'!$L$14:$M$14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94-4CF4-A037-F0D827A3D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'37'!$C$7:$C$33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'37'!$G$7:$G$32</c:f>
              <c:numCache>
                <c:formatCode>0.00</c:formatCode>
                <c:ptCount val="26"/>
                <c:pt idx="0">
                  <c:v>0</c:v>
                </c:pt>
                <c:pt idx="1">
                  <c:v>0.18</c:v>
                </c:pt>
                <c:pt idx="2">
                  <c:v>0.26500000000000001</c:v>
                </c:pt>
                <c:pt idx="3">
                  <c:v>0.495</c:v>
                </c:pt>
                <c:pt idx="4">
                  <c:v>0.91500000000000004</c:v>
                </c:pt>
                <c:pt idx="5">
                  <c:v>1.19</c:v>
                </c:pt>
                <c:pt idx="6">
                  <c:v>1.33</c:v>
                </c:pt>
                <c:pt idx="7">
                  <c:v>1.5</c:v>
                </c:pt>
                <c:pt idx="8">
                  <c:v>1.625</c:v>
                </c:pt>
                <c:pt idx="9">
                  <c:v>1.7250000000000001</c:v>
                </c:pt>
                <c:pt idx="10">
                  <c:v>1.825</c:v>
                </c:pt>
                <c:pt idx="11">
                  <c:v>1.9300000000000002</c:v>
                </c:pt>
                <c:pt idx="12">
                  <c:v>2.0299999999999998</c:v>
                </c:pt>
                <c:pt idx="13">
                  <c:v>2.2000000000000002</c:v>
                </c:pt>
                <c:pt idx="14">
                  <c:v>2.33</c:v>
                </c:pt>
                <c:pt idx="15">
                  <c:v>2.629</c:v>
                </c:pt>
                <c:pt idx="16">
                  <c:v>2.7199999999999998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8-4726-AAB9-958BB3F6B6A1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'37'!$L$10:$M$10</c:f>
              <c:numCache>
                <c:formatCode>0.00</c:formatCode>
                <c:ptCount val="2"/>
                <c:pt idx="0">
                  <c:v>0</c:v>
                </c:pt>
                <c:pt idx="1">
                  <c:v>513</c:v>
                </c:pt>
              </c:numCache>
            </c:numRef>
          </c:xVal>
          <c:yVal>
            <c:numRef>
              <c:f>'37'!$L$11:$M$11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08-4726-AAB9-958BB3F6B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'37'!$L$13:$M$13</c:f>
              <c:numCache>
                <c:formatCode>0.00</c:formatCode>
                <c:ptCount val="2"/>
                <c:pt idx="0">
                  <c:v>513</c:v>
                </c:pt>
                <c:pt idx="1">
                  <c:v>513</c:v>
                </c:pt>
              </c:numCache>
            </c:numRef>
          </c:xVal>
          <c:yVal>
            <c:numRef>
              <c:f>'37'!$L$14:$M$14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08-4726-AAB9-958BB3F6B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'36'!$C$7:$C$33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'36'!$G$7:$G$32</c:f>
              <c:numCache>
                <c:formatCode>0.00</c:formatCode>
                <c:ptCount val="26"/>
                <c:pt idx="0">
                  <c:v>0</c:v>
                </c:pt>
                <c:pt idx="1">
                  <c:v>0.32500000000000001</c:v>
                </c:pt>
                <c:pt idx="2">
                  <c:v>0.5</c:v>
                </c:pt>
                <c:pt idx="3">
                  <c:v>0.72</c:v>
                </c:pt>
                <c:pt idx="4">
                  <c:v>0.9850000000000001</c:v>
                </c:pt>
                <c:pt idx="5">
                  <c:v>1.21</c:v>
                </c:pt>
                <c:pt idx="6">
                  <c:v>1.27</c:v>
                </c:pt>
                <c:pt idx="7">
                  <c:v>1.4449999999999998</c:v>
                </c:pt>
                <c:pt idx="8">
                  <c:v>1.5899999999999999</c:v>
                </c:pt>
                <c:pt idx="9">
                  <c:v>1.625</c:v>
                </c:pt>
                <c:pt idx="10">
                  <c:v>1.6800000000000002</c:v>
                </c:pt>
                <c:pt idx="11">
                  <c:v>1.79</c:v>
                </c:pt>
                <c:pt idx="12">
                  <c:v>1.96</c:v>
                </c:pt>
                <c:pt idx="13">
                  <c:v>2.1550000000000002</c:v>
                </c:pt>
                <c:pt idx="14">
                  <c:v>2.34</c:v>
                </c:pt>
                <c:pt idx="15">
                  <c:v>2.5</c:v>
                </c:pt>
                <c:pt idx="16">
                  <c:v>2.6150000000000002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D-43E1-A099-6F7E56460B9C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'36'!$L$10:$M$10</c:f>
              <c:numCache>
                <c:formatCode>0.00</c:formatCode>
                <c:ptCount val="2"/>
                <c:pt idx="0">
                  <c:v>0</c:v>
                </c:pt>
                <c:pt idx="1">
                  <c:v>535</c:v>
                </c:pt>
              </c:numCache>
            </c:numRef>
          </c:xVal>
          <c:yVal>
            <c:numRef>
              <c:f>'36'!$L$11:$M$11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9D-43E1-A099-6F7E56460B9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'36'!$L$13:$M$13</c:f>
              <c:numCache>
                <c:formatCode>0.00</c:formatCode>
                <c:ptCount val="2"/>
                <c:pt idx="0">
                  <c:v>535</c:v>
                </c:pt>
                <c:pt idx="1">
                  <c:v>535</c:v>
                </c:pt>
              </c:numCache>
            </c:numRef>
          </c:xVal>
          <c:yVal>
            <c:numRef>
              <c:f>'36'!$L$14:$M$14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9D-43E1-A099-6F7E56460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'35'!$C$7:$C$33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'35'!$G$7:$G$32</c:f>
              <c:numCache>
                <c:formatCode>0.00</c:formatCode>
                <c:ptCount val="26"/>
                <c:pt idx="0">
                  <c:v>0</c:v>
                </c:pt>
                <c:pt idx="1">
                  <c:v>4.9999999999999996E-2</c:v>
                </c:pt>
                <c:pt idx="2">
                  <c:v>0.31</c:v>
                </c:pt>
                <c:pt idx="3">
                  <c:v>0.54</c:v>
                </c:pt>
                <c:pt idx="4">
                  <c:v>0.80499999999999994</c:v>
                </c:pt>
                <c:pt idx="5">
                  <c:v>0.84499999999999997</c:v>
                </c:pt>
                <c:pt idx="6">
                  <c:v>1.0150000000000001</c:v>
                </c:pt>
                <c:pt idx="7">
                  <c:v>1.1099999999999999</c:v>
                </c:pt>
                <c:pt idx="8">
                  <c:v>1.29</c:v>
                </c:pt>
                <c:pt idx="9">
                  <c:v>1.49</c:v>
                </c:pt>
                <c:pt idx="10">
                  <c:v>1.6400000000000001</c:v>
                </c:pt>
                <c:pt idx="11">
                  <c:v>1.7250000000000001</c:v>
                </c:pt>
                <c:pt idx="12">
                  <c:v>1.88</c:v>
                </c:pt>
                <c:pt idx="13">
                  <c:v>2.02</c:v>
                </c:pt>
                <c:pt idx="14">
                  <c:v>2.2249999999999996</c:v>
                </c:pt>
                <c:pt idx="15">
                  <c:v>2.6229999999999998</c:v>
                </c:pt>
                <c:pt idx="16">
                  <c:v>2.6950000000000003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C1-402A-9FFB-E64DC85C35D6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'35'!$L$10:$M$10</c:f>
              <c:numCache>
                <c:formatCode>0.00</c:formatCode>
                <c:ptCount val="2"/>
                <c:pt idx="0">
                  <c:v>0</c:v>
                </c:pt>
                <c:pt idx="1">
                  <c:v>523</c:v>
                </c:pt>
              </c:numCache>
            </c:numRef>
          </c:xVal>
          <c:yVal>
            <c:numRef>
              <c:f>'35'!$L$11:$M$11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C1-402A-9FFB-E64DC85C35D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'35'!$L$13:$M$13</c:f>
              <c:numCache>
                <c:formatCode>0.00</c:formatCode>
                <c:ptCount val="2"/>
                <c:pt idx="0">
                  <c:v>523</c:v>
                </c:pt>
                <c:pt idx="1">
                  <c:v>523</c:v>
                </c:pt>
              </c:numCache>
            </c:numRef>
          </c:xVal>
          <c:yVal>
            <c:numRef>
              <c:f>'35'!$L$14:$M$14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C1-402A-9FFB-E64DC85C3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'34'!$C$7:$C$33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'34'!$G$7:$G$32</c:f>
              <c:numCache>
                <c:formatCode>0.00</c:formatCode>
                <c:ptCount val="26"/>
                <c:pt idx="0">
                  <c:v>0</c:v>
                </c:pt>
                <c:pt idx="1">
                  <c:v>0.17499999999999999</c:v>
                </c:pt>
                <c:pt idx="2">
                  <c:v>0.38</c:v>
                </c:pt>
                <c:pt idx="3">
                  <c:v>0.65</c:v>
                </c:pt>
                <c:pt idx="4">
                  <c:v>1.01</c:v>
                </c:pt>
                <c:pt idx="5">
                  <c:v>1.2149999999999999</c:v>
                </c:pt>
                <c:pt idx="6">
                  <c:v>1.3050000000000002</c:v>
                </c:pt>
                <c:pt idx="7">
                  <c:v>1.45</c:v>
                </c:pt>
                <c:pt idx="8">
                  <c:v>1.635</c:v>
                </c:pt>
                <c:pt idx="9">
                  <c:v>1.7850000000000001</c:v>
                </c:pt>
                <c:pt idx="10">
                  <c:v>1.87</c:v>
                </c:pt>
                <c:pt idx="11">
                  <c:v>1.9350000000000001</c:v>
                </c:pt>
                <c:pt idx="12">
                  <c:v>2.09</c:v>
                </c:pt>
                <c:pt idx="13">
                  <c:v>2.1949999999999998</c:v>
                </c:pt>
                <c:pt idx="14">
                  <c:v>2.38</c:v>
                </c:pt>
                <c:pt idx="15">
                  <c:v>2.52</c:v>
                </c:pt>
                <c:pt idx="16">
                  <c:v>2.6349999999999998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1E-4F83-B088-4D000BB2F966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'34'!$L$10:$M$10</c:f>
              <c:numCache>
                <c:formatCode>0.00</c:formatCode>
                <c:ptCount val="2"/>
                <c:pt idx="0">
                  <c:v>0</c:v>
                </c:pt>
                <c:pt idx="1">
                  <c:v>524</c:v>
                </c:pt>
              </c:numCache>
            </c:numRef>
          </c:xVal>
          <c:yVal>
            <c:numRef>
              <c:f>'34'!$L$11:$M$11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1E-4F83-B088-4D000BB2F96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'34'!$L$13:$M$13</c:f>
              <c:numCache>
                <c:formatCode>0.00</c:formatCode>
                <c:ptCount val="2"/>
                <c:pt idx="0">
                  <c:v>524</c:v>
                </c:pt>
                <c:pt idx="1">
                  <c:v>524</c:v>
                </c:pt>
              </c:numCache>
            </c:numRef>
          </c:xVal>
          <c:yVal>
            <c:numRef>
              <c:f>'34'!$L$14:$M$14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1E-4F83-B088-4D000BB2F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'33'!$C$7:$C$33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'33'!$G$7:$G$32</c:f>
              <c:numCache>
                <c:formatCode>0.00</c:formatCode>
                <c:ptCount val="26"/>
                <c:pt idx="0">
                  <c:v>0</c:v>
                </c:pt>
                <c:pt idx="1">
                  <c:v>0.28500000000000003</c:v>
                </c:pt>
                <c:pt idx="2">
                  <c:v>0.45999999999999996</c:v>
                </c:pt>
                <c:pt idx="3">
                  <c:v>0.77500000000000002</c:v>
                </c:pt>
                <c:pt idx="4">
                  <c:v>0.93500000000000005</c:v>
                </c:pt>
                <c:pt idx="5">
                  <c:v>1.1099999999999999</c:v>
                </c:pt>
                <c:pt idx="6">
                  <c:v>1.2349999999999999</c:v>
                </c:pt>
                <c:pt idx="7">
                  <c:v>1.355</c:v>
                </c:pt>
                <c:pt idx="8">
                  <c:v>1.5150000000000001</c:v>
                </c:pt>
                <c:pt idx="9">
                  <c:v>1.69</c:v>
                </c:pt>
                <c:pt idx="10">
                  <c:v>1.8050000000000002</c:v>
                </c:pt>
                <c:pt idx="11">
                  <c:v>1.9649999999999999</c:v>
                </c:pt>
                <c:pt idx="12">
                  <c:v>2.0499999999999998</c:v>
                </c:pt>
                <c:pt idx="13">
                  <c:v>2.1850000000000001</c:v>
                </c:pt>
                <c:pt idx="14">
                  <c:v>2.29</c:v>
                </c:pt>
                <c:pt idx="15">
                  <c:v>2.5309999999999997</c:v>
                </c:pt>
                <c:pt idx="16">
                  <c:v>2.605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F0-4E75-B463-E0C2D717E00D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'33'!$L$10:$M$10</c:f>
              <c:numCache>
                <c:formatCode>0.00</c:formatCode>
                <c:ptCount val="2"/>
                <c:pt idx="0">
                  <c:v>0</c:v>
                </c:pt>
                <c:pt idx="1">
                  <c:v>530</c:v>
                </c:pt>
              </c:numCache>
            </c:numRef>
          </c:xVal>
          <c:yVal>
            <c:numRef>
              <c:f>'33'!$L$11:$M$11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F0-4E75-B463-E0C2D717E00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'33'!$L$13:$M$13</c:f>
              <c:numCache>
                <c:formatCode>0.00</c:formatCode>
                <c:ptCount val="2"/>
                <c:pt idx="0">
                  <c:v>530</c:v>
                </c:pt>
                <c:pt idx="1">
                  <c:v>530</c:v>
                </c:pt>
              </c:numCache>
            </c:numRef>
          </c:xVal>
          <c:yVal>
            <c:numRef>
              <c:f>'33'!$L$14:$M$14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F0-4E75-B463-E0C2D717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'32'!$C$7:$C$33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'32'!$G$7:$G$32</c:f>
              <c:numCache>
                <c:formatCode>0.00</c:formatCode>
                <c:ptCount val="26"/>
                <c:pt idx="0">
                  <c:v>0</c:v>
                </c:pt>
                <c:pt idx="1">
                  <c:v>0.21</c:v>
                </c:pt>
                <c:pt idx="2">
                  <c:v>0.44499999999999995</c:v>
                </c:pt>
                <c:pt idx="3">
                  <c:v>0.76500000000000001</c:v>
                </c:pt>
                <c:pt idx="4">
                  <c:v>0.98499999999999999</c:v>
                </c:pt>
                <c:pt idx="5">
                  <c:v>1.36</c:v>
                </c:pt>
                <c:pt idx="6">
                  <c:v>1.49</c:v>
                </c:pt>
                <c:pt idx="7">
                  <c:v>1.5899999999999999</c:v>
                </c:pt>
                <c:pt idx="8">
                  <c:v>1.7450000000000001</c:v>
                </c:pt>
                <c:pt idx="9">
                  <c:v>1.9650000000000001</c:v>
                </c:pt>
                <c:pt idx="10">
                  <c:v>2.0099999999999998</c:v>
                </c:pt>
                <c:pt idx="11">
                  <c:v>2.0649999999999999</c:v>
                </c:pt>
                <c:pt idx="12">
                  <c:v>2.1950000000000003</c:v>
                </c:pt>
                <c:pt idx="13">
                  <c:v>2.31</c:v>
                </c:pt>
                <c:pt idx="14">
                  <c:v>2.5150000000000001</c:v>
                </c:pt>
                <c:pt idx="15">
                  <c:v>2.5780000000000003</c:v>
                </c:pt>
                <c:pt idx="16">
                  <c:v>2.645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29-4214-9CB0-B3DD00647323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'32'!$L$10:$M$10</c:f>
              <c:numCache>
                <c:formatCode>0.00</c:formatCode>
                <c:ptCount val="2"/>
                <c:pt idx="0">
                  <c:v>0</c:v>
                </c:pt>
                <c:pt idx="1">
                  <c:v>502</c:v>
                </c:pt>
              </c:numCache>
            </c:numRef>
          </c:xVal>
          <c:yVal>
            <c:numRef>
              <c:f>'32'!$L$11:$M$11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29-4214-9CB0-B3DD0064732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'32'!$L$13:$M$13</c:f>
              <c:numCache>
                <c:formatCode>0.00</c:formatCode>
                <c:ptCount val="2"/>
                <c:pt idx="0">
                  <c:v>502</c:v>
                </c:pt>
                <c:pt idx="1">
                  <c:v>502</c:v>
                </c:pt>
              </c:numCache>
            </c:numRef>
          </c:xVal>
          <c:yVal>
            <c:numRef>
              <c:f>'32'!$L$14:$M$14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29-4214-9CB0-B3DD00647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'31'!$C$7:$C$33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'31'!$G$7:$G$32</c:f>
              <c:numCache>
                <c:formatCode>0.00</c:formatCode>
                <c:ptCount val="26"/>
                <c:pt idx="0">
                  <c:v>0</c:v>
                </c:pt>
                <c:pt idx="1">
                  <c:v>0.14000000000000001</c:v>
                </c:pt>
                <c:pt idx="2">
                  <c:v>0.33499999999999996</c:v>
                </c:pt>
                <c:pt idx="3">
                  <c:v>0.61499999999999999</c:v>
                </c:pt>
                <c:pt idx="4">
                  <c:v>0.83000000000000007</c:v>
                </c:pt>
                <c:pt idx="5">
                  <c:v>1.105</c:v>
                </c:pt>
                <c:pt idx="6">
                  <c:v>1.3050000000000002</c:v>
                </c:pt>
                <c:pt idx="7">
                  <c:v>1.43</c:v>
                </c:pt>
                <c:pt idx="8">
                  <c:v>1.5649999999999999</c:v>
                </c:pt>
                <c:pt idx="9">
                  <c:v>1.6549999999999998</c:v>
                </c:pt>
                <c:pt idx="10">
                  <c:v>1.7949999999999999</c:v>
                </c:pt>
                <c:pt idx="11">
                  <c:v>1.98</c:v>
                </c:pt>
                <c:pt idx="12">
                  <c:v>2.165</c:v>
                </c:pt>
                <c:pt idx="13">
                  <c:v>2.3049999999999997</c:v>
                </c:pt>
                <c:pt idx="14">
                  <c:v>2.4699999999999998</c:v>
                </c:pt>
                <c:pt idx="15">
                  <c:v>2.62</c:v>
                </c:pt>
                <c:pt idx="16">
                  <c:v>2.7149999999999999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DC-4279-AC7A-12A2385376E6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'31'!$L$10:$M$10</c:f>
              <c:numCache>
                <c:formatCode>0.00</c:formatCode>
                <c:ptCount val="2"/>
                <c:pt idx="0">
                  <c:v>0</c:v>
                </c:pt>
                <c:pt idx="1">
                  <c:v>499</c:v>
                </c:pt>
              </c:numCache>
            </c:numRef>
          </c:xVal>
          <c:yVal>
            <c:numRef>
              <c:f>'31'!$L$11:$M$11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DC-4279-AC7A-12A2385376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'31'!$L$13:$M$13</c:f>
              <c:numCache>
                <c:formatCode>0.00</c:formatCode>
                <c:ptCount val="2"/>
                <c:pt idx="0">
                  <c:v>499</c:v>
                </c:pt>
                <c:pt idx="1">
                  <c:v>499</c:v>
                </c:pt>
              </c:numCache>
            </c:numRef>
          </c:xVal>
          <c:yVal>
            <c:numRef>
              <c:f>'31'!$L$14:$M$14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DC-4279-AC7A-12A238537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'30'!$C$7:$C$33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'30'!$G$7:$G$32</c:f>
              <c:numCache>
                <c:formatCode>0.00</c:formatCode>
                <c:ptCount val="26"/>
                <c:pt idx="0">
                  <c:v>0</c:v>
                </c:pt>
                <c:pt idx="1">
                  <c:v>0.26500000000000001</c:v>
                </c:pt>
                <c:pt idx="2">
                  <c:v>0.48499999999999999</c:v>
                </c:pt>
                <c:pt idx="3">
                  <c:v>0.73</c:v>
                </c:pt>
                <c:pt idx="4">
                  <c:v>1</c:v>
                </c:pt>
                <c:pt idx="5">
                  <c:v>1.2050000000000001</c:v>
                </c:pt>
                <c:pt idx="6">
                  <c:v>1.375</c:v>
                </c:pt>
                <c:pt idx="7">
                  <c:v>1.52</c:v>
                </c:pt>
                <c:pt idx="8">
                  <c:v>1.665</c:v>
                </c:pt>
                <c:pt idx="9">
                  <c:v>1.77</c:v>
                </c:pt>
                <c:pt idx="10">
                  <c:v>1.8900000000000001</c:v>
                </c:pt>
                <c:pt idx="11">
                  <c:v>2</c:v>
                </c:pt>
                <c:pt idx="12">
                  <c:v>2.1150000000000002</c:v>
                </c:pt>
                <c:pt idx="13">
                  <c:v>2.2749999999999999</c:v>
                </c:pt>
                <c:pt idx="14">
                  <c:v>2.4850000000000003</c:v>
                </c:pt>
                <c:pt idx="15">
                  <c:v>2.63</c:v>
                </c:pt>
                <c:pt idx="16">
                  <c:v>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0-44BA-8F7C-02495DF19CB4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'30'!$L$10:$M$10</c:f>
              <c:numCache>
                <c:formatCode>0.00</c:formatCode>
                <c:ptCount val="2"/>
                <c:pt idx="0">
                  <c:v>0</c:v>
                </c:pt>
                <c:pt idx="1">
                  <c:v>501</c:v>
                </c:pt>
              </c:numCache>
            </c:numRef>
          </c:xVal>
          <c:yVal>
            <c:numRef>
              <c:f>'30'!$L$11:$M$11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B0-44BA-8F7C-02495DF19CB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'30'!$L$13:$M$13</c:f>
              <c:numCache>
                <c:formatCode>0.00</c:formatCode>
                <c:ptCount val="2"/>
                <c:pt idx="0">
                  <c:v>501</c:v>
                </c:pt>
                <c:pt idx="1">
                  <c:v>501</c:v>
                </c:pt>
              </c:numCache>
            </c:numRef>
          </c:xVal>
          <c:yVal>
            <c:numRef>
              <c:f>'30'!$L$14:$M$14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B0-44BA-8F7C-02495DF19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'29'!$C$7:$C$33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'29'!$G$7:$G$32</c:f>
              <c:numCache>
                <c:formatCode>0.00</c:formatCode>
                <c:ptCount val="26"/>
                <c:pt idx="0">
                  <c:v>0</c:v>
                </c:pt>
                <c:pt idx="1">
                  <c:v>0.22500000000000001</c:v>
                </c:pt>
                <c:pt idx="2">
                  <c:v>0.45</c:v>
                </c:pt>
                <c:pt idx="3">
                  <c:v>0.77</c:v>
                </c:pt>
                <c:pt idx="4">
                  <c:v>1.06</c:v>
                </c:pt>
                <c:pt idx="5">
                  <c:v>1.2350000000000001</c:v>
                </c:pt>
                <c:pt idx="6">
                  <c:v>1.38</c:v>
                </c:pt>
                <c:pt idx="7">
                  <c:v>1.52</c:v>
                </c:pt>
                <c:pt idx="8">
                  <c:v>1.63</c:v>
                </c:pt>
                <c:pt idx="9">
                  <c:v>1.7949999999999999</c:v>
                </c:pt>
                <c:pt idx="10">
                  <c:v>1.8900000000000001</c:v>
                </c:pt>
                <c:pt idx="11">
                  <c:v>2.0099999999999998</c:v>
                </c:pt>
                <c:pt idx="12">
                  <c:v>2.21</c:v>
                </c:pt>
                <c:pt idx="13">
                  <c:v>2.3449999999999998</c:v>
                </c:pt>
                <c:pt idx="14">
                  <c:v>2.4950000000000001</c:v>
                </c:pt>
                <c:pt idx="15">
                  <c:v>2.5599999999999996</c:v>
                </c:pt>
                <c:pt idx="16">
                  <c:v>2.6150000000000002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0A-4F8D-9526-E192A72B6AAC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'29'!$L$10:$M$10</c:f>
              <c:numCache>
                <c:formatCode>0.00</c:formatCode>
                <c:ptCount val="2"/>
                <c:pt idx="0">
                  <c:v>0</c:v>
                </c:pt>
                <c:pt idx="1">
                  <c:v>508</c:v>
                </c:pt>
              </c:numCache>
            </c:numRef>
          </c:xVal>
          <c:yVal>
            <c:numRef>
              <c:f>'29'!$L$11:$M$11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0A-4F8D-9526-E192A72B6AA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'29'!$L$13:$M$13</c:f>
              <c:numCache>
                <c:formatCode>0.00</c:formatCode>
                <c:ptCount val="2"/>
                <c:pt idx="0">
                  <c:v>508</c:v>
                </c:pt>
                <c:pt idx="1">
                  <c:v>508</c:v>
                </c:pt>
              </c:numCache>
            </c:numRef>
          </c:xVal>
          <c:yVal>
            <c:numRef>
              <c:f>'29'!$L$14:$M$14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0A-4F8D-9526-E192A72B6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forward val="4.2"/>
            <c:dispRSqr val="0"/>
            <c:dispEq val="0"/>
          </c:trendline>
          <c:xVal>
            <c:numRef>
              <c:f>'28'!$C$7:$C$33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'28'!$G$7:$G$32</c:f>
              <c:numCache>
                <c:formatCode>0.00</c:formatCode>
                <c:ptCount val="26"/>
                <c:pt idx="0">
                  <c:v>0</c:v>
                </c:pt>
                <c:pt idx="1">
                  <c:v>0.155</c:v>
                </c:pt>
                <c:pt idx="2">
                  <c:v>0.39</c:v>
                </c:pt>
                <c:pt idx="3">
                  <c:v>0.64500000000000002</c:v>
                </c:pt>
                <c:pt idx="4">
                  <c:v>0.82499999999999996</c:v>
                </c:pt>
                <c:pt idx="5">
                  <c:v>1.1850000000000001</c:v>
                </c:pt>
                <c:pt idx="6">
                  <c:v>1.4100000000000001</c:v>
                </c:pt>
                <c:pt idx="7">
                  <c:v>1.54</c:v>
                </c:pt>
                <c:pt idx="8">
                  <c:v>1.665</c:v>
                </c:pt>
                <c:pt idx="9">
                  <c:v>1.85</c:v>
                </c:pt>
                <c:pt idx="10">
                  <c:v>1.99</c:v>
                </c:pt>
                <c:pt idx="11">
                  <c:v>2.0599999999999996</c:v>
                </c:pt>
                <c:pt idx="12">
                  <c:v>2.1749999999999998</c:v>
                </c:pt>
                <c:pt idx="13">
                  <c:v>2.2800000000000002</c:v>
                </c:pt>
                <c:pt idx="14">
                  <c:v>2.48</c:v>
                </c:pt>
                <c:pt idx="15">
                  <c:v>2.5949999999999998</c:v>
                </c:pt>
                <c:pt idx="16">
                  <c:v>2.7149999999999999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3-442A-BE76-29C94D19725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'28'!$L$10:$M$10</c:f>
              <c:numCache>
                <c:formatCode>0.00</c:formatCode>
                <c:ptCount val="2"/>
                <c:pt idx="0">
                  <c:v>0</c:v>
                </c:pt>
                <c:pt idx="1">
                  <c:v>496</c:v>
                </c:pt>
              </c:numCache>
            </c:numRef>
          </c:xVal>
          <c:yVal>
            <c:numRef>
              <c:f>'28'!$L$11:$M$11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43-442A-BE76-29C94D19725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'28'!$L$13:$M$13</c:f>
              <c:numCache>
                <c:formatCode>0.00</c:formatCode>
                <c:ptCount val="2"/>
                <c:pt idx="0">
                  <c:v>496</c:v>
                </c:pt>
                <c:pt idx="1">
                  <c:v>496</c:v>
                </c:pt>
              </c:numCache>
            </c:numRef>
          </c:xVal>
          <c:yVal>
            <c:numRef>
              <c:f>'28'!$L$14:$M$14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43-442A-BE76-29C94D197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'27'!$C$7:$C$33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'27'!$G$7:$G$32</c:f>
              <c:numCache>
                <c:formatCode>0.00</c:formatCode>
                <c:ptCount val="26"/>
                <c:pt idx="0">
                  <c:v>0</c:v>
                </c:pt>
                <c:pt idx="1">
                  <c:v>0.17499999999999999</c:v>
                </c:pt>
                <c:pt idx="2">
                  <c:v>0.34499999999999997</c:v>
                </c:pt>
                <c:pt idx="3">
                  <c:v>0.47</c:v>
                </c:pt>
                <c:pt idx="4">
                  <c:v>0.65</c:v>
                </c:pt>
                <c:pt idx="5">
                  <c:v>0.79500000000000004</c:v>
                </c:pt>
                <c:pt idx="6">
                  <c:v>0.9850000000000001</c:v>
                </c:pt>
                <c:pt idx="7">
                  <c:v>1.2450000000000001</c:v>
                </c:pt>
                <c:pt idx="8">
                  <c:v>1.47</c:v>
                </c:pt>
                <c:pt idx="9">
                  <c:v>1.665</c:v>
                </c:pt>
                <c:pt idx="10">
                  <c:v>1.78</c:v>
                </c:pt>
                <c:pt idx="11">
                  <c:v>1.9350000000000001</c:v>
                </c:pt>
                <c:pt idx="12">
                  <c:v>2.1749999999999998</c:v>
                </c:pt>
                <c:pt idx="13">
                  <c:v>2.4249999999999998</c:v>
                </c:pt>
                <c:pt idx="14">
                  <c:v>2.5999999999999996</c:v>
                </c:pt>
                <c:pt idx="15">
                  <c:v>3.0649999999999999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E7-40DE-82A9-7D196CE6620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'27'!$L$10:$M$10</c:f>
              <c:numCache>
                <c:formatCode>0.00</c:formatCode>
                <c:ptCount val="2"/>
                <c:pt idx="0">
                  <c:v>0</c:v>
                </c:pt>
                <c:pt idx="1">
                  <c:v>456</c:v>
                </c:pt>
              </c:numCache>
            </c:numRef>
          </c:xVal>
          <c:yVal>
            <c:numRef>
              <c:f>'27'!$L$11:$M$11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E7-40DE-82A9-7D196CE6620E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'27'!$L$13:$M$13</c:f>
              <c:numCache>
                <c:formatCode>0.00</c:formatCode>
                <c:ptCount val="2"/>
                <c:pt idx="0">
                  <c:v>456</c:v>
                </c:pt>
                <c:pt idx="1">
                  <c:v>456</c:v>
                </c:pt>
              </c:numCache>
            </c:numRef>
          </c:xVal>
          <c:yVal>
            <c:numRef>
              <c:f>'27'!$L$14:$M$14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E7-40DE-82A9-7D196CE66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'26'!$C$7:$C$33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'26'!$G$7:$G$32</c:f>
              <c:numCache>
                <c:formatCode>0.00</c:formatCode>
                <c:ptCount val="26"/>
                <c:pt idx="0">
                  <c:v>0</c:v>
                </c:pt>
                <c:pt idx="1">
                  <c:v>0.14499999999999999</c:v>
                </c:pt>
                <c:pt idx="2">
                  <c:v>0.38</c:v>
                </c:pt>
                <c:pt idx="3">
                  <c:v>0.58499999999999996</c:v>
                </c:pt>
                <c:pt idx="4">
                  <c:v>0.88500000000000001</c:v>
                </c:pt>
                <c:pt idx="5">
                  <c:v>1.155</c:v>
                </c:pt>
                <c:pt idx="6">
                  <c:v>1.415</c:v>
                </c:pt>
                <c:pt idx="7">
                  <c:v>1.5350000000000001</c:v>
                </c:pt>
                <c:pt idx="8">
                  <c:v>1.65</c:v>
                </c:pt>
                <c:pt idx="9">
                  <c:v>1.7599999999999998</c:v>
                </c:pt>
                <c:pt idx="10">
                  <c:v>1.99</c:v>
                </c:pt>
                <c:pt idx="11">
                  <c:v>2.2450000000000001</c:v>
                </c:pt>
                <c:pt idx="12">
                  <c:v>2.4</c:v>
                </c:pt>
                <c:pt idx="13">
                  <c:v>2.66</c:v>
                </c:pt>
                <c:pt idx="14">
                  <c:v>2.73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3-4C35-8A46-CC70B8F19ADD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'26'!$L$10:$M$10</c:f>
              <c:numCache>
                <c:formatCode>0.00</c:formatCode>
                <c:ptCount val="2"/>
                <c:pt idx="0">
                  <c:v>0</c:v>
                </c:pt>
                <c:pt idx="1">
                  <c:v>428</c:v>
                </c:pt>
              </c:numCache>
            </c:numRef>
          </c:xVal>
          <c:yVal>
            <c:numRef>
              <c:f>'26'!$L$11:$M$11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03-4C35-8A46-CC70B8F19AD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'26'!$L$13:$M$13</c:f>
              <c:numCache>
                <c:formatCode>0.00</c:formatCode>
                <c:ptCount val="2"/>
                <c:pt idx="0">
                  <c:v>428</c:v>
                </c:pt>
                <c:pt idx="1">
                  <c:v>428</c:v>
                </c:pt>
              </c:numCache>
            </c:numRef>
          </c:xVal>
          <c:yVal>
            <c:numRef>
              <c:f>'26'!$L$14:$M$14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03-4C35-8A46-CC70B8F19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'25'!$C$7:$C$33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'25'!$G$7:$G$32</c:f>
              <c:numCache>
                <c:formatCode>0.00</c:formatCode>
                <c:ptCount val="26"/>
                <c:pt idx="0">
                  <c:v>0</c:v>
                </c:pt>
                <c:pt idx="1">
                  <c:v>0.22000000000000003</c:v>
                </c:pt>
                <c:pt idx="2">
                  <c:v>0.42499999999999999</c:v>
                </c:pt>
                <c:pt idx="3">
                  <c:v>0.74</c:v>
                </c:pt>
                <c:pt idx="4">
                  <c:v>1.02</c:v>
                </c:pt>
                <c:pt idx="5">
                  <c:v>1.0900000000000001</c:v>
                </c:pt>
                <c:pt idx="6">
                  <c:v>1.34</c:v>
                </c:pt>
                <c:pt idx="7">
                  <c:v>1.62</c:v>
                </c:pt>
                <c:pt idx="8">
                  <c:v>1.82</c:v>
                </c:pt>
                <c:pt idx="9">
                  <c:v>1.925</c:v>
                </c:pt>
                <c:pt idx="10">
                  <c:v>2.0649999999999999</c:v>
                </c:pt>
                <c:pt idx="11">
                  <c:v>2.2599999999999998</c:v>
                </c:pt>
                <c:pt idx="12">
                  <c:v>2.4049999999999998</c:v>
                </c:pt>
                <c:pt idx="13">
                  <c:v>2.56</c:v>
                </c:pt>
                <c:pt idx="14">
                  <c:v>2.7149999999999999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1C-4D77-94FA-1F342FE1B6A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'25'!$L$10:$M$10</c:f>
              <c:numCache>
                <c:formatCode>0.00</c:formatCode>
                <c:ptCount val="2"/>
                <c:pt idx="0">
                  <c:v>0</c:v>
                </c:pt>
                <c:pt idx="1">
                  <c:v>431</c:v>
                </c:pt>
              </c:numCache>
            </c:numRef>
          </c:xVal>
          <c:yVal>
            <c:numRef>
              <c:f>'25'!$L$11:$M$11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1C-4D77-94FA-1F342FE1B6A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'25'!$L$13:$M$13</c:f>
              <c:numCache>
                <c:formatCode>0.00</c:formatCode>
                <c:ptCount val="2"/>
                <c:pt idx="0">
                  <c:v>431</c:v>
                </c:pt>
                <c:pt idx="1">
                  <c:v>431</c:v>
                </c:pt>
              </c:numCache>
            </c:numRef>
          </c:xVal>
          <c:yVal>
            <c:numRef>
              <c:f>'25'!$L$14:$M$14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1C-4D77-94FA-1F342FE1B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'24'!$C$7:$C$33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'24'!$G$7:$G$32</c:f>
              <c:numCache>
                <c:formatCode>0.00</c:formatCode>
                <c:ptCount val="26"/>
                <c:pt idx="0">
                  <c:v>0</c:v>
                </c:pt>
                <c:pt idx="1">
                  <c:v>0.15</c:v>
                </c:pt>
                <c:pt idx="2">
                  <c:v>0.32500000000000001</c:v>
                </c:pt>
                <c:pt idx="3">
                  <c:v>0.375</c:v>
                </c:pt>
                <c:pt idx="4">
                  <c:v>0.56000000000000005</c:v>
                </c:pt>
                <c:pt idx="5">
                  <c:v>0.69499999999999995</c:v>
                </c:pt>
                <c:pt idx="6">
                  <c:v>0.95</c:v>
                </c:pt>
                <c:pt idx="7">
                  <c:v>1.095</c:v>
                </c:pt>
                <c:pt idx="8">
                  <c:v>1.405</c:v>
                </c:pt>
                <c:pt idx="9">
                  <c:v>1.62</c:v>
                </c:pt>
                <c:pt idx="10">
                  <c:v>1.905</c:v>
                </c:pt>
                <c:pt idx="11">
                  <c:v>2.0049999999999999</c:v>
                </c:pt>
                <c:pt idx="12">
                  <c:v>2.2350000000000003</c:v>
                </c:pt>
                <c:pt idx="13">
                  <c:v>2.41</c:v>
                </c:pt>
                <c:pt idx="14">
                  <c:v>2.5300000000000002</c:v>
                </c:pt>
                <c:pt idx="15">
                  <c:v>2.6100000000000003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89-44E4-BE39-49D8B1B6DD2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'24'!$L$10:$M$10</c:f>
              <c:numCache>
                <c:formatCode>0.00</c:formatCode>
                <c:ptCount val="2"/>
                <c:pt idx="0">
                  <c:v>0</c:v>
                </c:pt>
                <c:pt idx="1">
                  <c:v>458</c:v>
                </c:pt>
              </c:numCache>
            </c:numRef>
          </c:xVal>
          <c:yVal>
            <c:numRef>
              <c:f>'24'!$L$11:$M$11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89-44E4-BE39-49D8B1B6DD27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'24'!$L$13:$M$13</c:f>
              <c:numCache>
                <c:formatCode>0.00</c:formatCode>
                <c:ptCount val="2"/>
                <c:pt idx="0">
                  <c:v>458</c:v>
                </c:pt>
                <c:pt idx="1">
                  <c:v>458</c:v>
                </c:pt>
              </c:numCache>
            </c:numRef>
          </c:xVal>
          <c:yVal>
            <c:numRef>
              <c:f>'24'!$L$14:$M$14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89-44E4-BE39-49D8B1B6D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'23'!$C$7:$C$33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'23'!$G$7:$G$32</c:f>
              <c:numCache>
                <c:formatCode>0.00</c:formatCode>
                <c:ptCount val="26"/>
                <c:pt idx="0">
                  <c:v>0</c:v>
                </c:pt>
                <c:pt idx="1">
                  <c:v>0.16</c:v>
                </c:pt>
                <c:pt idx="2">
                  <c:v>0.41500000000000004</c:v>
                </c:pt>
                <c:pt idx="3">
                  <c:v>0.52500000000000002</c:v>
                </c:pt>
                <c:pt idx="4">
                  <c:v>0.70499999999999996</c:v>
                </c:pt>
                <c:pt idx="5">
                  <c:v>0.93499999999999994</c:v>
                </c:pt>
                <c:pt idx="6">
                  <c:v>1.08</c:v>
                </c:pt>
                <c:pt idx="7">
                  <c:v>1.2650000000000001</c:v>
                </c:pt>
                <c:pt idx="8">
                  <c:v>1.47</c:v>
                </c:pt>
                <c:pt idx="9">
                  <c:v>1.6400000000000001</c:v>
                </c:pt>
                <c:pt idx="10">
                  <c:v>1.855</c:v>
                </c:pt>
                <c:pt idx="11">
                  <c:v>1.9649999999999999</c:v>
                </c:pt>
                <c:pt idx="12">
                  <c:v>2.2349999999999999</c:v>
                </c:pt>
                <c:pt idx="13">
                  <c:v>2.3849999999999998</c:v>
                </c:pt>
                <c:pt idx="14">
                  <c:v>2.62</c:v>
                </c:pt>
                <c:pt idx="15">
                  <c:v>2.9950000000000001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68-444A-946E-A9F1FA902D9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'23'!$L$10:$M$10</c:f>
              <c:numCache>
                <c:formatCode>0.00</c:formatCode>
                <c:ptCount val="2"/>
                <c:pt idx="0">
                  <c:v>0</c:v>
                </c:pt>
                <c:pt idx="1">
                  <c:v>453</c:v>
                </c:pt>
              </c:numCache>
            </c:numRef>
          </c:xVal>
          <c:yVal>
            <c:numRef>
              <c:f>'23'!$L$11:$M$11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68-444A-946E-A9F1FA902D9E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'23'!$L$13:$M$13</c:f>
              <c:numCache>
                <c:formatCode>0.00</c:formatCode>
                <c:ptCount val="2"/>
                <c:pt idx="0">
                  <c:v>453</c:v>
                </c:pt>
                <c:pt idx="1">
                  <c:v>453</c:v>
                </c:pt>
              </c:numCache>
            </c:numRef>
          </c:xVal>
          <c:yVal>
            <c:numRef>
              <c:f>'23'!$L$14:$M$14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68-444A-946E-A9F1FA902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'22'!$C$7:$C$33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'22'!$G$7:$G$32</c:f>
              <c:numCache>
                <c:formatCode>0.00</c:formatCode>
                <c:ptCount val="26"/>
                <c:pt idx="0">
                  <c:v>0</c:v>
                </c:pt>
                <c:pt idx="1">
                  <c:v>0.21</c:v>
                </c:pt>
                <c:pt idx="2">
                  <c:v>0.55499999999999994</c:v>
                </c:pt>
                <c:pt idx="3">
                  <c:v>0.82</c:v>
                </c:pt>
                <c:pt idx="4">
                  <c:v>1.05</c:v>
                </c:pt>
                <c:pt idx="5">
                  <c:v>1.075</c:v>
                </c:pt>
                <c:pt idx="6">
                  <c:v>1.2149999999999999</c:v>
                </c:pt>
                <c:pt idx="7">
                  <c:v>1.4049999999999998</c:v>
                </c:pt>
                <c:pt idx="8">
                  <c:v>1.665</c:v>
                </c:pt>
                <c:pt idx="9">
                  <c:v>1.8049999999999999</c:v>
                </c:pt>
                <c:pt idx="10">
                  <c:v>2</c:v>
                </c:pt>
                <c:pt idx="11">
                  <c:v>2.2599999999999998</c:v>
                </c:pt>
                <c:pt idx="12">
                  <c:v>2.5049999999999999</c:v>
                </c:pt>
                <c:pt idx="13">
                  <c:v>2.605</c:v>
                </c:pt>
                <c:pt idx="14">
                  <c:v>2.855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9-423E-837D-2B2017A1B4E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'22'!$L$10:$M$10</c:f>
              <c:numCache>
                <c:formatCode>0.00</c:formatCode>
                <c:ptCount val="2"/>
                <c:pt idx="0">
                  <c:v>0</c:v>
                </c:pt>
                <c:pt idx="1">
                  <c:v>420</c:v>
                </c:pt>
              </c:numCache>
            </c:numRef>
          </c:xVal>
          <c:yVal>
            <c:numRef>
              <c:f>'22'!$L$11:$M$11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C9-423E-837D-2B2017A1B4EE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'22'!$L$13:$M$13</c:f>
              <c:numCache>
                <c:formatCode>0.00</c:formatCode>
                <c:ptCount val="2"/>
                <c:pt idx="0">
                  <c:v>420</c:v>
                </c:pt>
                <c:pt idx="1">
                  <c:v>420</c:v>
                </c:pt>
              </c:numCache>
            </c:numRef>
          </c:xVal>
          <c:yVal>
            <c:numRef>
              <c:f>'22'!$L$14:$M$14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C9-423E-837D-2B2017A1B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'21'!$C$7:$C$33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'21'!$G$7:$G$32</c:f>
              <c:numCache>
                <c:formatCode>0.00</c:formatCode>
                <c:ptCount val="26"/>
                <c:pt idx="0">
                  <c:v>0</c:v>
                </c:pt>
                <c:pt idx="1">
                  <c:v>0.14000000000000001</c:v>
                </c:pt>
                <c:pt idx="2">
                  <c:v>0.505</c:v>
                </c:pt>
                <c:pt idx="3">
                  <c:v>0.69</c:v>
                </c:pt>
                <c:pt idx="4">
                  <c:v>0.88</c:v>
                </c:pt>
                <c:pt idx="5">
                  <c:v>1.145</c:v>
                </c:pt>
                <c:pt idx="6">
                  <c:v>1.3250000000000002</c:v>
                </c:pt>
                <c:pt idx="7">
                  <c:v>1.5</c:v>
                </c:pt>
                <c:pt idx="8">
                  <c:v>1.5950000000000002</c:v>
                </c:pt>
                <c:pt idx="9">
                  <c:v>1.74</c:v>
                </c:pt>
                <c:pt idx="10">
                  <c:v>1.9700000000000002</c:v>
                </c:pt>
                <c:pt idx="11">
                  <c:v>2.23</c:v>
                </c:pt>
                <c:pt idx="12">
                  <c:v>2.41</c:v>
                </c:pt>
                <c:pt idx="13">
                  <c:v>2.645</c:v>
                </c:pt>
                <c:pt idx="14">
                  <c:v>2.8650000000000002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D-4828-9B1A-8EE0CDE7E73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'21'!$L$10:$M$10</c:f>
              <c:numCache>
                <c:formatCode>0.00</c:formatCode>
                <c:ptCount val="2"/>
                <c:pt idx="0">
                  <c:v>0</c:v>
                </c:pt>
                <c:pt idx="1">
                  <c:v>433</c:v>
                </c:pt>
              </c:numCache>
            </c:numRef>
          </c:xVal>
          <c:yVal>
            <c:numRef>
              <c:f>'21'!$L$11:$M$11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CD-4828-9B1A-8EE0CDE7E7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'21'!$L$13:$M$13</c:f>
              <c:numCache>
                <c:formatCode>0.00</c:formatCode>
                <c:ptCount val="2"/>
                <c:pt idx="0">
                  <c:v>433</c:v>
                </c:pt>
                <c:pt idx="1">
                  <c:v>433</c:v>
                </c:pt>
              </c:numCache>
            </c:numRef>
          </c:xVal>
          <c:yVal>
            <c:numRef>
              <c:f>'21'!$L$14:$M$14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CD-4828-9B1A-8EE0CDE7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'20'!$C$7:$C$33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'20'!$G$7:$G$32</c:f>
              <c:numCache>
                <c:formatCode>0.00</c:formatCode>
                <c:ptCount val="26"/>
                <c:pt idx="0">
                  <c:v>0</c:v>
                </c:pt>
                <c:pt idx="1">
                  <c:v>0.32500000000000001</c:v>
                </c:pt>
                <c:pt idx="2">
                  <c:v>0.56000000000000005</c:v>
                </c:pt>
                <c:pt idx="3">
                  <c:v>0.77499999999999991</c:v>
                </c:pt>
                <c:pt idx="4">
                  <c:v>1</c:v>
                </c:pt>
                <c:pt idx="5">
                  <c:v>1.1850000000000001</c:v>
                </c:pt>
                <c:pt idx="6">
                  <c:v>1.32</c:v>
                </c:pt>
                <c:pt idx="7">
                  <c:v>1.5350000000000001</c:v>
                </c:pt>
                <c:pt idx="8">
                  <c:v>1.7749999999999999</c:v>
                </c:pt>
                <c:pt idx="9">
                  <c:v>1.9849999999999999</c:v>
                </c:pt>
                <c:pt idx="10">
                  <c:v>2.165</c:v>
                </c:pt>
                <c:pt idx="11">
                  <c:v>2.3199999999999998</c:v>
                </c:pt>
                <c:pt idx="12">
                  <c:v>2.6150000000000002</c:v>
                </c:pt>
                <c:pt idx="13">
                  <c:v>2.95</c:v>
                </c:pt>
                <c:pt idx="14">
                  <c:v>3.145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6-446D-8CFD-55E4A3E20816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'20'!$L$10:$M$10</c:f>
              <c:numCache>
                <c:formatCode>0.00</c:formatCode>
                <c:ptCount val="2"/>
                <c:pt idx="0">
                  <c:v>0</c:v>
                </c:pt>
                <c:pt idx="1">
                  <c:v>406</c:v>
                </c:pt>
              </c:numCache>
            </c:numRef>
          </c:xVal>
          <c:yVal>
            <c:numRef>
              <c:f>'20'!$L$11:$M$11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A6-446D-8CFD-55E4A3E2081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'20'!$L$13:$M$13</c:f>
              <c:numCache>
                <c:formatCode>0.00</c:formatCode>
                <c:ptCount val="2"/>
                <c:pt idx="0">
                  <c:v>406</c:v>
                </c:pt>
                <c:pt idx="1">
                  <c:v>406</c:v>
                </c:pt>
              </c:numCache>
            </c:numRef>
          </c:xVal>
          <c:yVal>
            <c:numRef>
              <c:f>'20'!$L$14:$M$14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A6-446D-8CFD-55E4A3E20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'19'!$C$7:$C$33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'19'!$G$7:$G$32</c:f>
              <c:numCache>
                <c:formatCode>0.00</c:formatCode>
                <c:ptCount val="26"/>
                <c:pt idx="0">
                  <c:v>0</c:v>
                </c:pt>
                <c:pt idx="1">
                  <c:v>0.125</c:v>
                </c:pt>
                <c:pt idx="2">
                  <c:v>0.39500000000000002</c:v>
                </c:pt>
                <c:pt idx="3">
                  <c:v>0.59</c:v>
                </c:pt>
                <c:pt idx="4">
                  <c:v>0.96</c:v>
                </c:pt>
                <c:pt idx="5">
                  <c:v>1.1599999999999999</c:v>
                </c:pt>
                <c:pt idx="6">
                  <c:v>1.2250000000000001</c:v>
                </c:pt>
                <c:pt idx="7">
                  <c:v>1.48</c:v>
                </c:pt>
                <c:pt idx="8">
                  <c:v>1.605</c:v>
                </c:pt>
                <c:pt idx="9">
                  <c:v>1.9</c:v>
                </c:pt>
                <c:pt idx="10">
                  <c:v>2.2250000000000001</c:v>
                </c:pt>
                <c:pt idx="11">
                  <c:v>2.38</c:v>
                </c:pt>
                <c:pt idx="12">
                  <c:v>2.5950000000000002</c:v>
                </c:pt>
                <c:pt idx="13">
                  <c:v>2.7749999999999999</c:v>
                </c:pt>
                <c:pt idx="14">
                  <c:v>3.0149999999999997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2-47E7-AD37-C06165F929D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'19'!$L$10:$M$10</c:f>
              <c:numCache>
                <c:formatCode>0.00</c:formatCode>
                <c:ptCount val="2"/>
                <c:pt idx="0">
                  <c:v>0</c:v>
                </c:pt>
                <c:pt idx="1">
                  <c:v>413</c:v>
                </c:pt>
              </c:numCache>
            </c:numRef>
          </c:xVal>
          <c:yVal>
            <c:numRef>
              <c:f>'19'!$L$11:$M$11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72-47E7-AD37-C06165F929D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'19'!$L$13:$M$13</c:f>
              <c:numCache>
                <c:formatCode>0.00</c:formatCode>
                <c:ptCount val="2"/>
                <c:pt idx="0">
                  <c:v>413</c:v>
                </c:pt>
                <c:pt idx="1">
                  <c:v>413</c:v>
                </c:pt>
              </c:numCache>
            </c:numRef>
          </c:xVal>
          <c:yVal>
            <c:numRef>
              <c:f>'19'!$L$14:$M$14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72-47E7-AD37-C06165F92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'18'!$C$7:$C$33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'18'!$G$7:$G$32</c:f>
              <c:numCache>
                <c:formatCode>0.00</c:formatCode>
                <c:ptCount val="26"/>
                <c:pt idx="0">
                  <c:v>0</c:v>
                </c:pt>
                <c:pt idx="1">
                  <c:v>0.31</c:v>
                </c:pt>
                <c:pt idx="2">
                  <c:v>0.625</c:v>
                </c:pt>
                <c:pt idx="3">
                  <c:v>0.92500000000000004</c:v>
                </c:pt>
                <c:pt idx="4">
                  <c:v>0.96500000000000008</c:v>
                </c:pt>
                <c:pt idx="5">
                  <c:v>1.2250000000000001</c:v>
                </c:pt>
                <c:pt idx="6">
                  <c:v>1.45</c:v>
                </c:pt>
                <c:pt idx="7">
                  <c:v>1.62</c:v>
                </c:pt>
                <c:pt idx="8">
                  <c:v>1.7</c:v>
                </c:pt>
                <c:pt idx="9">
                  <c:v>1.915</c:v>
                </c:pt>
                <c:pt idx="10">
                  <c:v>1.94</c:v>
                </c:pt>
                <c:pt idx="11">
                  <c:v>2.165</c:v>
                </c:pt>
                <c:pt idx="12">
                  <c:v>2.4350000000000001</c:v>
                </c:pt>
                <c:pt idx="13">
                  <c:v>2.66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9F-4113-B5A2-05C009BA8C32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'18'!$L$10:$M$10</c:f>
              <c:numCache>
                <c:formatCode>0.00</c:formatCode>
                <c:ptCount val="2"/>
                <c:pt idx="0">
                  <c:v>0</c:v>
                </c:pt>
                <c:pt idx="1">
                  <c:v>424</c:v>
                </c:pt>
              </c:numCache>
            </c:numRef>
          </c:xVal>
          <c:yVal>
            <c:numRef>
              <c:f>'18'!$L$11:$M$11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9F-4113-B5A2-05C009BA8C3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'18'!$L$13:$M$13</c:f>
              <c:numCache>
                <c:formatCode>0.00</c:formatCode>
                <c:ptCount val="2"/>
                <c:pt idx="0">
                  <c:v>424</c:v>
                </c:pt>
                <c:pt idx="1">
                  <c:v>424</c:v>
                </c:pt>
              </c:numCache>
            </c:numRef>
          </c:xVal>
          <c:yVal>
            <c:numRef>
              <c:f>'18'!$L$14:$M$14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9F-4113-B5A2-05C009BA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'17'!$C$7:$C$33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'17'!$G$7:$G$32</c:f>
              <c:numCache>
                <c:formatCode>0.00</c:formatCode>
                <c:ptCount val="26"/>
                <c:pt idx="0">
                  <c:v>0</c:v>
                </c:pt>
                <c:pt idx="1">
                  <c:v>0.15</c:v>
                </c:pt>
                <c:pt idx="2">
                  <c:v>0.36</c:v>
                </c:pt>
                <c:pt idx="3">
                  <c:v>0.56000000000000005</c:v>
                </c:pt>
                <c:pt idx="4">
                  <c:v>0.86</c:v>
                </c:pt>
                <c:pt idx="5">
                  <c:v>1</c:v>
                </c:pt>
                <c:pt idx="6">
                  <c:v>1.26</c:v>
                </c:pt>
                <c:pt idx="7">
                  <c:v>1.4550000000000001</c:v>
                </c:pt>
                <c:pt idx="8">
                  <c:v>1.59</c:v>
                </c:pt>
                <c:pt idx="9">
                  <c:v>1.81</c:v>
                </c:pt>
                <c:pt idx="10">
                  <c:v>2.02</c:v>
                </c:pt>
                <c:pt idx="11">
                  <c:v>2.2350000000000003</c:v>
                </c:pt>
                <c:pt idx="12">
                  <c:v>2.4900000000000002</c:v>
                </c:pt>
                <c:pt idx="13">
                  <c:v>2.7949999999999999</c:v>
                </c:pt>
                <c:pt idx="14">
                  <c:v>2.9850000000000003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B-4A42-9536-3BA6F0DA2A2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'17'!$L$10:$M$10</c:f>
              <c:numCache>
                <c:formatCode>0.00</c:formatCode>
                <c:ptCount val="2"/>
                <c:pt idx="0">
                  <c:v>0</c:v>
                </c:pt>
                <c:pt idx="1">
                  <c:v>427</c:v>
                </c:pt>
              </c:numCache>
            </c:numRef>
          </c:xVal>
          <c:yVal>
            <c:numRef>
              <c:f>'17'!$L$11:$M$11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CB-4A42-9536-3BA6F0DA2A2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'17'!$L$13:$M$13</c:f>
              <c:numCache>
                <c:formatCode>0.00</c:formatCode>
                <c:ptCount val="2"/>
                <c:pt idx="0">
                  <c:v>427</c:v>
                </c:pt>
                <c:pt idx="1">
                  <c:v>427</c:v>
                </c:pt>
              </c:numCache>
            </c:numRef>
          </c:xVal>
          <c:yVal>
            <c:numRef>
              <c:f>'17'!$L$14:$M$14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CB-4A42-9536-3BA6F0DA2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'16'!$C$7:$C$33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'16'!$G$7:$G$32</c:f>
              <c:numCache>
                <c:formatCode>0.00</c:formatCode>
                <c:ptCount val="26"/>
                <c:pt idx="0">
                  <c:v>0</c:v>
                </c:pt>
                <c:pt idx="1">
                  <c:v>0.08</c:v>
                </c:pt>
                <c:pt idx="2">
                  <c:v>0.255</c:v>
                </c:pt>
                <c:pt idx="3">
                  <c:v>0.5</c:v>
                </c:pt>
                <c:pt idx="4">
                  <c:v>0.72</c:v>
                </c:pt>
                <c:pt idx="5">
                  <c:v>0.90500000000000003</c:v>
                </c:pt>
                <c:pt idx="6">
                  <c:v>1.1600000000000001</c:v>
                </c:pt>
                <c:pt idx="7">
                  <c:v>1.4249999999999998</c:v>
                </c:pt>
                <c:pt idx="8">
                  <c:v>1.6349999999999998</c:v>
                </c:pt>
                <c:pt idx="9">
                  <c:v>1.83</c:v>
                </c:pt>
                <c:pt idx="10">
                  <c:v>2.1799999999999997</c:v>
                </c:pt>
                <c:pt idx="11">
                  <c:v>2.3849999999999998</c:v>
                </c:pt>
                <c:pt idx="12">
                  <c:v>2.52</c:v>
                </c:pt>
                <c:pt idx="13">
                  <c:v>2.69</c:v>
                </c:pt>
                <c:pt idx="14">
                  <c:v>2.88</c:v>
                </c:pt>
                <c:pt idx="15">
                  <c:v>3.0924999999999998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F2-46EA-9385-16B84485716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'16'!$L$10:$M$10</c:f>
              <c:numCache>
                <c:formatCode>0.00</c:formatCode>
                <c:ptCount val="2"/>
                <c:pt idx="0">
                  <c:v>0</c:v>
                </c:pt>
                <c:pt idx="1">
                  <c:v>419</c:v>
                </c:pt>
              </c:numCache>
            </c:numRef>
          </c:xVal>
          <c:yVal>
            <c:numRef>
              <c:f>'16'!$L$11:$M$11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F2-46EA-9385-16B84485716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'16'!$L$13:$M$13</c:f>
              <c:numCache>
                <c:formatCode>0.00</c:formatCode>
                <c:ptCount val="2"/>
                <c:pt idx="0">
                  <c:v>419</c:v>
                </c:pt>
                <c:pt idx="1">
                  <c:v>419</c:v>
                </c:pt>
              </c:numCache>
            </c:numRef>
          </c:xVal>
          <c:yVal>
            <c:numRef>
              <c:f>'16'!$L$14:$M$14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F2-46EA-9385-16B844857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'15'!$C$7:$C$33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'15'!$G$7:$G$32</c:f>
              <c:numCache>
                <c:formatCode>0.00</c:formatCode>
                <c:ptCount val="26"/>
                <c:pt idx="0">
                  <c:v>0</c:v>
                </c:pt>
                <c:pt idx="1">
                  <c:v>0.25</c:v>
                </c:pt>
                <c:pt idx="2">
                  <c:v>0.46</c:v>
                </c:pt>
                <c:pt idx="3">
                  <c:v>0.59499999999999997</c:v>
                </c:pt>
                <c:pt idx="4">
                  <c:v>0.91500000000000004</c:v>
                </c:pt>
                <c:pt idx="5">
                  <c:v>1.1299999999999999</c:v>
                </c:pt>
                <c:pt idx="6">
                  <c:v>1.31</c:v>
                </c:pt>
                <c:pt idx="7">
                  <c:v>1.54</c:v>
                </c:pt>
                <c:pt idx="8">
                  <c:v>1.61</c:v>
                </c:pt>
                <c:pt idx="9">
                  <c:v>1.7050000000000001</c:v>
                </c:pt>
                <c:pt idx="10">
                  <c:v>1.77</c:v>
                </c:pt>
                <c:pt idx="11">
                  <c:v>2.0649999999999999</c:v>
                </c:pt>
                <c:pt idx="12">
                  <c:v>2.3849999999999998</c:v>
                </c:pt>
                <c:pt idx="13">
                  <c:v>2.7250000000000001</c:v>
                </c:pt>
                <c:pt idx="14">
                  <c:v>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C-422D-9ACC-63D99315B538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'15'!$L$10:$M$10</c:f>
              <c:numCache>
                <c:formatCode>0.00</c:formatCode>
                <c:ptCount val="2"/>
                <c:pt idx="0">
                  <c:v>0</c:v>
                </c:pt>
                <c:pt idx="1">
                  <c:v>429</c:v>
                </c:pt>
              </c:numCache>
            </c:numRef>
          </c:xVal>
          <c:yVal>
            <c:numRef>
              <c:f>'15'!$L$11:$M$11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9C-422D-9ACC-63D99315B53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'15'!$L$13:$M$13</c:f>
              <c:numCache>
                <c:formatCode>0.00</c:formatCode>
                <c:ptCount val="2"/>
                <c:pt idx="0">
                  <c:v>429</c:v>
                </c:pt>
                <c:pt idx="1">
                  <c:v>429</c:v>
                </c:pt>
              </c:numCache>
            </c:numRef>
          </c:xVal>
          <c:yVal>
            <c:numRef>
              <c:f>'15'!$L$14:$M$14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9C-422D-9ACC-63D99315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'14'!$C$7:$C$33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'14'!$G$7:$G$32</c:f>
              <c:numCache>
                <c:formatCode>0.00</c:formatCode>
                <c:ptCount val="26"/>
                <c:pt idx="0">
                  <c:v>0</c:v>
                </c:pt>
                <c:pt idx="1">
                  <c:v>0.185</c:v>
                </c:pt>
                <c:pt idx="2">
                  <c:v>0.495</c:v>
                </c:pt>
                <c:pt idx="3">
                  <c:v>0.81</c:v>
                </c:pt>
                <c:pt idx="4">
                  <c:v>0.9</c:v>
                </c:pt>
                <c:pt idx="5">
                  <c:v>1.1200000000000001</c:v>
                </c:pt>
                <c:pt idx="6">
                  <c:v>1.3</c:v>
                </c:pt>
                <c:pt idx="7">
                  <c:v>1.4300000000000002</c:v>
                </c:pt>
                <c:pt idx="8">
                  <c:v>1.62</c:v>
                </c:pt>
                <c:pt idx="9">
                  <c:v>1.895</c:v>
                </c:pt>
                <c:pt idx="10">
                  <c:v>2.0300000000000002</c:v>
                </c:pt>
                <c:pt idx="11">
                  <c:v>2.2649999999999997</c:v>
                </c:pt>
                <c:pt idx="12">
                  <c:v>2.4700000000000002</c:v>
                </c:pt>
                <c:pt idx="13">
                  <c:v>2.5750000000000002</c:v>
                </c:pt>
                <c:pt idx="14">
                  <c:v>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B-4B53-80C9-C2C5915F211C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'14'!$L$10:$M$10</c:f>
              <c:numCache>
                <c:formatCode>0.00</c:formatCode>
                <c:ptCount val="2"/>
                <c:pt idx="0">
                  <c:v>0</c:v>
                </c:pt>
                <c:pt idx="1">
                  <c:v>415</c:v>
                </c:pt>
              </c:numCache>
            </c:numRef>
          </c:xVal>
          <c:yVal>
            <c:numRef>
              <c:f>'14'!$L$11:$M$11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1B-4B53-80C9-C2C5915F211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'14'!$L$13:$M$13</c:f>
              <c:numCache>
                <c:formatCode>0.00</c:formatCode>
                <c:ptCount val="2"/>
                <c:pt idx="0">
                  <c:v>415</c:v>
                </c:pt>
                <c:pt idx="1">
                  <c:v>415</c:v>
                </c:pt>
              </c:numCache>
            </c:numRef>
          </c:xVal>
          <c:yVal>
            <c:numRef>
              <c:f>'14'!$L$14:$M$14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1B-4B53-80C9-C2C5915F2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'13'!$C$7:$C$33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'13'!$G$7:$G$32</c:f>
              <c:numCache>
                <c:formatCode>0.00</c:formatCode>
                <c:ptCount val="26"/>
                <c:pt idx="0">
                  <c:v>0</c:v>
                </c:pt>
                <c:pt idx="1">
                  <c:v>0.19999999999999998</c:v>
                </c:pt>
                <c:pt idx="2">
                  <c:v>0.37</c:v>
                </c:pt>
                <c:pt idx="3">
                  <c:v>0.54</c:v>
                </c:pt>
                <c:pt idx="4">
                  <c:v>0.80499999999999994</c:v>
                </c:pt>
                <c:pt idx="5">
                  <c:v>0.995</c:v>
                </c:pt>
                <c:pt idx="6">
                  <c:v>1.3599999999999999</c:v>
                </c:pt>
                <c:pt idx="7">
                  <c:v>1.675</c:v>
                </c:pt>
                <c:pt idx="8">
                  <c:v>1.95</c:v>
                </c:pt>
                <c:pt idx="9">
                  <c:v>2.0999999999999996</c:v>
                </c:pt>
                <c:pt idx="10">
                  <c:v>2.165</c:v>
                </c:pt>
                <c:pt idx="11">
                  <c:v>2.25</c:v>
                </c:pt>
                <c:pt idx="12">
                  <c:v>2.5099999999999998</c:v>
                </c:pt>
                <c:pt idx="13">
                  <c:v>2.79</c:v>
                </c:pt>
                <c:pt idx="14">
                  <c:v>3.0250000000000004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F7-48F4-9DDF-64DC11BC5DE1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'13'!$L$10:$M$10</c:f>
              <c:numCache>
                <c:formatCode>0.00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xVal>
          <c:yVal>
            <c:numRef>
              <c:f>'13'!$L$11:$M$11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F7-48F4-9DDF-64DC11BC5DE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'13'!$L$13:$M$13</c:f>
              <c:numCache>
                <c:formatCode>0.00</c:formatCode>
                <c:ptCount val="2"/>
                <c:pt idx="0">
                  <c:v>407</c:v>
                </c:pt>
                <c:pt idx="1">
                  <c:v>407</c:v>
                </c:pt>
              </c:numCache>
            </c:numRef>
          </c:xVal>
          <c:yVal>
            <c:numRef>
              <c:f>'13'!$L$14:$M$14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F7-48F4-9DDF-64DC11BC5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'12'!$C$7:$C$33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'12'!$G$7:$G$32</c:f>
              <c:numCache>
                <c:formatCode>0.00</c:formatCode>
                <c:ptCount val="26"/>
                <c:pt idx="0">
                  <c:v>0</c:v>
                </c:pt>
                <c:pt idx="1">
                  <c:v>0.17</c:v>
                </c:pt>
                <c:pt idx="2">
                  <c:v>0.5</c:v>
                </c:pt>
                <c:pt idx="3">
                  <c:v>0.63</c:v>
                </c:pt>
                <c:pt idx="4">
                  <c:v>0.77</c:v>
                </c:pt>
                <c:pt idx="5">
                  <c:v>1.075</c:v>
                </c:pt>
                <c:pt idx="6">
                  <c:v>1.26</c:v>
                </c:pt>
                <c:pt idx="7">
                  <c:v>1.56</c:v>
                </c:pt>
                <c:pt idx="8">
                  <c:v>1.76</c:v>
                </c:pt>
                <c:pt idx="9">
                  <c:v>1.895</c:v>
                </c:pt>
                <c:pt idx="10">
                  <c:v>1.96</c:v>
                </c:pt>
                <c:pt idx="11">
                  <c:v>2.3149999999999999</c:v>
                </c:pt>
                <c:pt idx="12">
                  <c:v>2.48</c:v>
                </c:pt>
                <c:pt idx="13">
                  <c:v>2.63</c:v>
                </c:pt>
                <c:pt idx="14">
                  <c:v>2.855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C-46F4-BD0D-35C6C56F0F8D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'12'!$L$10:$M$10</c:f>
              <c:numCache>
                <c:formatCode>0.00</c:formatCode>
                <c:ptCount val="2"/>
                <c:pt idx="0">
                  <c:v>0</c:v>
                </c:pt>
                <c:pt idx="1">
                  <c:v>416</c:v>
                </c:pt>
              </c:numCache>
            </c:numRef>
          </c:xVal>
          <c:yVal>
            <c:numRef>
              <c:f>'12'!$L$11:$M$11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AC-46F4-BD0D-35C6C56F0F8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'12'!$L$13:$M$13</c:f>
              <c:numCache>
                <c:formatCode>0.00</c:formatCode>
                <c:ptCount val="2"/>
                <c:pt idx="0">
                  <c:v>416</c:v>
                </c:pt>
                <c:pt idx="1">
                  <c:v>416</c:v>
                </c:pt>
              </c:numCache>
            </c:numRef>
          </c:xVal>
          <c:yVal>
            <c:numRef>
              <c:f>'12'!$L$14:$M$14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AC-46F4-BD0D-35C6C56F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'11'!$C$7:$C$33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'11'!$G$7:$G$32</c:f>
              <c:numCache>
                <c:formatCode>0.00</c:formatCode>
                <c:ptCount val="26"/>
                <c:pt idx="0">
                  <c:v>0</c:v>
                </c:pt>
                <c:pt idx="1">
                  <c:v>0.19500000000000001</c:v>
                </c:pt>
                <c:pt idx="2">
                  <c:v>0.41500000000000004</c:v>
                </c:pt>
                <c:pt idx="3">
                  <c:v>0.625</c:v>
                </c:pt>
                <c:pt idx="4">
                  <c:v>0.82000000000000006</c:v>
                </c:pt>
                <c:pt idx="5">
                  <c:v>1.0049999999999999</c:v>
                </c:pt>
                <c:pt idx="6">
                  <c:v>1.27</c:v>
                </c:pt>
                <c:pt idx="7">
                  <c:v>1.46</c:v>
                </c:pt>
                <c:pt idx="8">
                  <c:v>1.6600000000000001</c:v>
                </c:pt>
                <c:pt idx="9">
                  <c:v>1.9500000000000002</c:v>
                </c:pt>
                <c:pt idx="10">
                  <c:v>2.0649999999999999</c:v>
                </c:pt>
                <c:pt idx="11">
                  <c:v>2.335</c:v>
                </c:pt>
                <c:pt idx="12">
                  <c:v>2.59</c:v>
                </c:pt>
                <c:pt idx="13">
                  <c:v>2.8099999999999996</c:v>
                </c:pt>
                <c:pt idx="14">
                  <c:v>3.02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7D-4A0B-832A-051B895E43CD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'11'!$L$10:$M$10</c:f>
              <c:numCache>
                <c:formatCode>0.00</c:formatCode>
                <c:ptCount val="2"/>
                <c:pt idx="0">
                  <c:v>0</c:v>
                </c:pt>
                <c:pt idx="1">
                  <c:v>408</c:v>
                </c:pt>
              </c:numCache>
            </c:numRef>
          </c:xVal>
          <c:yVal>
            <c:numRef>
              <c:f>'11'!$L$11:$M$11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7D-4A0B-832A-051B895E43C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'11'!$L$13:$M$13</c:f>
              <c:numCache>
                <c:formatCode>0.00</c:formatCode>
                <c:ptCount val="2"/>
                <c:pt idx="0">
                  <c:v>408</c:v>
                </c:pt>
                <c:pt idx="1">
                  <c:v>408</c:v>
                </c:pt>
              </c:numCache>
            </c:numRef>
          </c:xVal>
          <c:yVal>
            <c:numRef>
              <c:f>'11'!$L$14:$M$14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7D-4A0B-832A-051B895E4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'10'!$C$7:$C$25</c:f>
              <c:numCache>
                <c:formatCode>0.0_ </c:formatCode>
                <c:ptCount val="19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</c:numCache>
            </c:numRef>
          </c:xVal>
          <c:yVal>
            <c:numRef>
              <c:f>'10'!$G$7:$G$25</c:f>
              <c:numCache>
                <c:formatCode>0.00</c:formatCode>
                <c:ptCount val="19"/>
                <c:pt idx="0">
                  <c:v>0</c:v>
                </c:pt>
                <c:pt idx="1">
                  <c:v>0.29000000000000004</c:v>
                </c:pt>
                <c:pt idx="2">
                  <c:v>0.48499999999999999</c:v>
                </c:pt>
                <c:pt idx="3">
                  <c:v>0.66500000000000004</c:v>
                </c:pt>
                <c:pt idx="4">
                  <c:v>0.88000000000000012</c:v>
                </c:pt>
                <c:pt idx="5">
                  <c:v>1.2250000000000001</c:v>
                </c:pt>
                <c:pt idx="6">
                  <c:v>1.415</c:v>
                </c:pt>
                <c:pt idx="7">
                  <c:v>1.645</c:v>
                </c:pt>
                <c:pt idx="8">
                  <c:v>1.845</c:v>
                </c:pt>
                <c:pt idx="9">
                  <c:v>1.92</c:v>
                </c:pt>
                <c:pt idx="10">
                  <c:v>2.19</c:v>
                </c:pt>
                <c:pt idx="11">
                  <c:v>2.33</c:v>
                </c:pt>
                <c:pt idx="12">
                  <c:v>2.5499999999999998</c:v>
                </c:pt>
                <c:pt idx="13">
                  <c:v>2.6799999999999997</c:v>
                </c:pt>
                <c:pt idx="14">
                  <c:v>2.87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1-4C9E-BBDD-1ACC20A7D004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'10'!$L$10:$M$10</c:f>
              <c:numCache>
                <c:formatCode>0.00</c:formatCode>
                <c:ptCount val="2"/>
                <c:pt idx="0">
                  <c:v>0</c:v>
                </c:pt>
                <c:pt idx="1">
                  <c:v>415</c:v>
                </c:pt>
              </c:numCache>
            </c:numRef>
          </c:xVal>
          <c:yVal>
            <c:numRef>
              <c:f>'10'!$L$11:$M$11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01-4C9E-BBDD-1ACC20A7D00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'10'!$L$13:$M$13</c:f>
              <c:numCache>
                <c:formatCode>0.00</c:formatCode>
                <c:ptCount val="2"/>
                <c:pt idx="0">
                  <c:v>415</c:v>
                </c:pt>
                <c:pt idx="1">
                  <c:v>415</c:v>
                </c:pt>
              </c:numCache>
            </c:numRef>
          </c:xVal>
          <c:yVal>
            <c:numRef>
              <c:f>'10'!$L$14:$M$14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01-4C9E-BBDD-1ACC20A7D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'9'!$C$7:$C$33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'9'!$G$7:$G$32</c:f>
              <c:numCache>
                <c:formatCode>0.00</c:formatCode>
                <c:ptCount val="26"/>
                <c:pt idx="0">
                  <c:v>0</c:v>
                </c:pt>
                <c:pt idx="1">
                  <c:v>0.13</c:v>
                </c:pt>
                <c:pt idx="2">
                  <c:v>0.44999999999999996</c:v>
                </c:pt>
                <c:pt idx="3">
                  <c:v>0.56000000000000005</c:v>
                </c:pt>
                <c:pt idx="4">
                  <c:v>0.81</c:v>
                </c:pt>
                <c:pt idx="5">
                  <c:v>1.1299999999999999</c:v>
                </c:pt>
                <c:pt idx="6">
                  <c:v>1.3050000000000002</c:v>
                </c:pt>
                <c:pt idx="7">
                  <c:v>1.52</c:v>
                </c:pt>
                <c:pt idx="8">
                  <c:v>1.65</c:v>
                </c:pt>
                <c:pt idx="9">
                  <c:v>1.905</c:v>
                </c:pt>
                <c:pt idx="10">
                  <c:v>2.09</c:v>
                </c:pt>
                <c:pt idx="11">
                  <c:v>2.2599999999999998</c:v>
                </c:pt>
                <c:pt idx="12">
                  <c:v>2.38</c:v>
                </c:pt>
                <c:pt idx="13">
                  <c:v>2.54</c:v>
                </c:pt>
                <c:pt idx="14">
                  <c:v>2.7800000000000002</c:v>
                </c:pt>
                <c:pt idx="15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80-47A9-8B94-7863A5C055D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'9'!$L$10:$M$10</c:f>
              <c:numCache>
                <c:formatCode>0.00</c:formatCode>
                <c:ptCount val="2"/>
                <c:pt idx="0">
                  <c:v>0</c:v>
                </c:pt>
                <c:pt idx="1">
                  <c:v>425</c:v>
                </c:pt>
              </c:numCache>
            </c:numRef>
          </c:xVal>
          <c:yVal>
            <c:numRef>
              <c:f>'9'!$L$11:$M$11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80-47A9-8B94-7863A5C055DE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'9'!$L$13:$M$13</c:f>
              <c:numCache>
                <c:formatCode>0.00</c:formatCode>
                <c:ptCount val="2"/>
                <c:pt idx="0">
                  <c:v>425</c:v>
                </c:pt>
                <c:pt idx="1">
                  <c:v>425</c:v>
                </c:pt>
              </c:numCache>
            </c:numRef>
          </c:xVal>
          <c:yVal>
            <c:numRef>
              <c:f>'9'!$L$14:$M$14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80-47A9-8B94-7863A5C05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'8'!$C$7:$C$33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'8'!$G$7:$G$32</c:f>
              <c:numCache>
                <c:formatCode>0.00</c:formatCode>
                <c:ptCount val="26"/>
                <c:pt idx="0">
                  <c:v>0</c:v>
                </c:pt>
                <c:pt idx="1">
                  <c:v>7.0000000000000007E-2</c:v>
                </c:pt>
                <c:pt idx="2">
                  <c:v>0.2</c:v>
                </c:pt>
                <c:pt idx="3">
                  <c:v>0.37</c:v>
                </c:pt>
                <c:pt idx="4">
                  <c:v>0.55000000000000004</c:v>
                </c:pt>
                <c:pt idx="5">
                  <c:v>0.84499999999999997</c:v>
                </c:pt>
                <c:pt idx="6">
                  <c:v>1.04</c:v>
                </c:pt>
                <c:pt idx="7">
                  <c:v>1.2650000000000001</c:v>
                </c:pt>
                <c:pt idx="8">
                  <c:v>1.4550000000000001</c:v>
                </c:pt>
                <c:pt idx="9">
                  <c:v>1.7450000000000001</c:v>
                </c:pt>
                <c:pt idx="10">
                  <c:v>1.8599999999999999</c:v>
                </c:pt>
                <c:pt idx="11">
                  <c:v>2.0949999999999998</c:v>
                </c:pt>
                <c:pt idx="12">
                  <c:v>2.2400000000000002</c:v>
                </c:pt>
                <c:pt idx="13">
                  <c:v>2.4400000000000004</c:v>
                </c:pt>
                <c:pt idx="14">
                  <c:v>2.6550000000000002</c:v>
                </c:pt>
                <c:pt idx="15">
                  <c:v>3.355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48-46B6-84F2-D4CA226CFE60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'8'!$L$10:$M$10</c:f>
              <c:numCache>
                <c:formatCode>0.00</c:formatCode>
                <c:ptCount val="2"/>
                <c:pt idx="0">
                  <c:v>0</c:v>
                </c:pt>
                <c:pt idx="1">
                  <c:v>440</c:v>
                </c:pt>
              </c:numCache>
            </c:numRef>
          </c:xVal>
          <c:yVal>
            <c:numRef>
              <c:f>'8'!$L$11:$M$11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48-46B6-84F2-D4CA226CFE6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'8'!$L$13:$M$13</c:f>
              <c:numCache>
                <c:formatCode>0.00</c:formatCode>
                <c:ptCount val="2"/>
                <c:pt idx="0">
                  <c:v>440</c:v>
                </c:pt>
                <c:pt idx="1">
                  <c:v>440</c:v>
                </c:pt>
              </c:numCache>
            </c:numRef>
          </c:xVal>
          <c:yVal>
            <c:numRef>
              <c:f>'8'!$L$14:$M$14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48-46B6-84F2-D4CA226CF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'7'!$C$7:$C$33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'7'!$G$7:$G$32</c:f>
              <c:numCache>
                <c:formatCode>0.00</c:formatCode>
                <c:ptCount val="26"/>
                <c:pt idx="0">
                  <c:v>0</c:v>
                </c:pt>
                <c:pt idx="1">
                  <c:v>0.28500000000000003</c:v>
                </c:pt>
                <c:pt idx="2">
                  <c:v>0.315</c:v>
                </c:pt>
                <c:pt idx="3">
                  <c:v>0.56000000000000005</c:v>
                </c:pt>
                <c:pt idx="4">
                  <c:v>0.70499999999999996</c:v>
                </c:pt>
                <c:pt idx="5">
                  <c:v>0.91999999999999993</c:v>
                </c:pt>
                <c:pt idx="6">
                  <c:v>1.1749999999999998</c:v>
                </c:pt>
                <c:pt idx="7">
                  <c:v>1.3399999999999999</c:v>
                </c:pt>
                <c:pt idx="8">
                  <c:v>1.385</c:v>
                </c:pt>
                <c:pt idx="9">
                  <c:v>1.665</c:v>
                </c:pt>
                <c:pt idx="10">
                  <c:v>1.8900000000000001</c:v>
                </c:pt>
                <c:pt idx="11">
                  <c:v>2.0249999999999999</c:v>
                </c:pt>
                <c:pt idx="12">
                  <c:v>2.2149999999999999</c:v>
                </c:pt>
                <c:pt idx="13">
                  <c:v>2.375</c:v>
                </c:pt>
                <c:pt idx="14">
                  <c:v>2.5299999999999998</c:v>
                </c:pt>
                <c:pt idx="15">
                  <c:v>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3-4C60-BCE1-6268084738E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'7'!$L$10:$M$10</c:f>
              <c:numCache>
                <c:formatCode>0.00</c:formatCode>
                <c:ptCount val="2"/>
                <c:pt idx="0">
                  <c:v>0</c:v>
                </c:pt>
                <c:pt idx="1">
                  <c:v>469</c:v>
                </c:pt>
              </c:numCache>
            </c:numRef>
          </c:xVal>
          <c:yVal>
            <c:numRef>
              <c:f>'7'!$L$11:$M$11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03-4C60-BCE1-6268084738E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'7'!$L$13:$M$13</c:f>
              <c:numCache>
                <c:formatCode>0.00</c:formatCode>
                <c:ptCount val="2"/>
                <c:pt idx="0">
                  <c:v>469</c:v>
                </c:pt>
                <c:pt idx="1">
                  <c:v>469</c:v>
                </c:pt>
              </c:numCache>
            </c:numRef>
          </c:xVal>
          <c:yVal>
            <c:numRef>
              <c:f>'7'!$L$14:$M$14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03-4C60-BCE1-62680847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'6'!$C$7:$C$33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'6'!$G$7:$G$32</c:f>
              <c:numCache>
                <c:formatCode>0.00</c:formatCode>
                <c:ptCount val="26"/>
                <c:pt idx="0">
                  <c:v>0</c:v>
                </c:pt>
                <c:pt idx="1">
                  <c:v>0.17499999999999999</c:v>
                </c:pt>
                <c:pt idx="2">
                  <c:v>0.36</c:v>
                </c:pt>
                <c:pt idx="3">
                  <c:v>0.64</c:v>
                </c:pt>
                <c:pt idx="4">
                  <c:v>0.87999999999999989</c:v>
                </c:pt>
                <c:pt idx="5">
                  <c:v>1.115</c:v>
                </c:pt>
                <c:pt idx="6">
                  <c:v>1.25</c:v>
                </c:pt>
                <c:pt idx="7">
                  <c:v>1.46</c:v>
                </c:pt>
                <c:pt idx="8">
                  <c:v>1.67</c:v>
                </c:pt>
                <c:pt idx="9">
                  <c:v>1.8199999999999998</c:v>
                </c:pt>
                <c:pt idx="10">
                  <c:v>1.9950000000000001</c:v>
                </c:pt>
                <c:pt idx="11">
                  <c:v>2.165</c:v>
                </c:pt>
                <c:pt idx="12">
                  <c:v>2.2399999999999998</c:v>
                </c:pt>
                <c:pt idx="13">
                  <c:v>2.5049999999999999</c:v>
                </c:pt>
                <c:pt idx="14">
                  <c:v>2.7</c:v>
                </c:pt>
                <c:pt idx="15">
                  <c:v>3.5549999999999997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55-4271-8F2B-2A3F2342FA2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'6'!$L$10:$M$10</c:f>
              <c:numCache>
                <c:formatCode>0.00</c:formatCode>
                <c:ptCount val="2"/>
                <c:pt idx="0">
                  <c:v>0</c:v>
                </c:pt>
                <c:pt idx="1">
                  <c:v>443</c:v>
                </c:pt>
              </c:numCache>
            </c:numRef>
          </c:xVal>
          <c:yVal>
            <c:numRef>
              <c:f>'6'!$L$11:$M$11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55-4271-8F2B-2A3F2342FA2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'6'!$L$13:$M$13</c:f>
              <c:numCache>
                <c:formatCode>0.00</c:formatCode>
                <c:ptCount val="2"/>
                <c:pt idx="0">
                  <c:v>443</c:v>
                </c:pt>
                <c:pt idx="1">
                  <c:v>443</c:v>
                </c:pt>
              </c:numCache>
            </c:numRef>
          </c:xVal>
          <c:yVal>
            <c:numRef>
              <c:f>'6'!$L$14:$M$14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55-4271-8F2B-2A3F2342F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'5'!$C$7:$C$33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xVal>
          <c:yVal>
            <c:numRef>
              <c:f>'5'!$G$7:$G$32</c:f>
              <c:numCache>
                <c:formatCode>0.00</c:formatCode>
                <c:ptCount val="26"/>
                <c:pt idx="0">
                  <c:v>0</c:v>
                </c:pt>
                <c:pt idx="1">
                  <c:v>0.28999999999999998</c:v>
                </c:pt>
                <c:pt idx="2">
                  <c:v>0.55000000000000004</c:v>
                </c:pt>
                <c:pt idx="3">
                  <c:v>0.8</c:v>
                </c:pt>
                <c:pt idx="4">
                  <c:v>1.0049999999999999</c:v>
                </c:pt>
                <c:pt idx="5">
                  <c:v>1.165</c:v>
                </c:pt>
                <c:pt idx="6">
                  <c:v>1.38</c:v>
                </c:pt>
                <c:pt idx="7">
                  <c:v>1.44</c:v>
                </c:pt>
                <c:pt idx="8">
                  <c:v>1.62</c:v>
                </c:pt>
                <c:pt idx="9">
                  <c:v>1.8050000000000002</c:v>
                </c:pt>
                <c:pt idx="10">
                  <c:v>1.9350000000000001</c:v>
                </c:pt>
                <c:pt idx="11">
                  <c:v>2.1100000000000003</c:v>
                </c:pt>
                <c:pt idx="12">
                  <c:v>2.31</c:v>
                </c:pt>
                <c:pt idx="13">
                  <c:v>2.4500000000000002</c:v>
                </c:pt>
                <c:pt idx="14">
                  <c:v>2.6749999999999998</c:v>
                </c:pt>
                <c:pt idx="15">
                  <c:v>3.0149999999999997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0-4EA0-ABDD-D9EC8AC49EAB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'5'!$L$10:$M$10</c:f>
              <c:numCache>
                <c:formatCode>0.00</c:formatCode>
                <c:ptCount val="2"/>
                <c:pt idx="0">
                  <c:v>0</c:v>
                </c:pt>
                <c:pt idx="1">
                  <c:v>457</c:v>
                </c:pt>
              </c:numCache>
            </c:numRef>
          </c:xVal>
          <c:yVal>
            <c:numRef>
              <c:f>'5'!$L$11:$M$11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40-4EA0-ABDD-D9EC8AC49EAB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'5'!$L$13:$M$13</c:f>
              <c:numCache>
                <c:formatCode>0.00</c:formatCode>
                <c:ptCount val="2"/>
                <c:pt idx="0">
                  <c:v>457</c:v>
                </c:pt>
                <c:pt idx="1">
                  <c:v>457</c:v>
                </c:pt>
              </c:numCache>
            </c:numRef>
          </c:xVal>
          <c:yVal>
            <c:numRef>
              <c:f>'5'!$L$14:$M$14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40-4EA0-ABDD-D9EC8AC49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'4'!$C$7:$C$33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'4'!$G$7:$G$32</c:f>
              <c:numCache>
                <c:formatCode>0.00</c:formatCode>
                <c:ptCount val="26"/>
                <c:pt idx="0">
                  <c:v>0</c:v>
                </c:pt>
                <c:pt idx="1">
                  <c:v>0.245</c:v>
                </c:pt>
                <c:pt idx="2">
                  <c:v>0.44</c:v>
                </c:pt>
                <c:pt idx="3">
                  <c:v>0.68500000000000005</c:v>
                </c:pt>
                <c:pt idx="4">
                  <c:v>0.83499999999999996</c:v>
                </c:pt>
                <c:pt idx="5">
                  <c:v>0.99</c:v>
                </c:pt>
                <c:pt idx="6">
                  <c:v>1.07</c:v>
                </c:pt>
                <c:pt idx="7">
                  <c:v>1.32</c:v>
                </c:pt>
                <c:pt idx="8">
                  <c:v>1.44</c:v>
                </c:pt>
                <c:pt idx="9">
                  <c:v>1.645</c:v>
                </c:pt>
                <c:pt idx="10">
                  <c:v>1.7450000000000001</c:v>
                </c:pt>
                <c:pt idx="11">
                  <c:v>1.875</c:v>
                </c:pt>
                <c:pt idx="12">
                  <c:v>2.0149999999999997</c:v>
                </c:pt>
                <c:pt idx="13">
                  <c:v>2.3200000000000003</c:v>
                </c:pt>
                <c:pt idx="14">
                  <c:v>2.54</c:v>
                </c:pt>
                <c:pt idx="15">
                  <c:v>3.03</c:v>
                </c:pt>
                <c:pt idx="1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E-42CB-9AA0-B66BADD100E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'4'!$L$10:$M$10</c:f>
              <c:numCache>
                <c:formatCode>0.00</c:formatCode>
                <c:ptCount val="2"/>
                <c:pt idx="0">
                  <c:v>0</c:v>
                </c:pt>
                <c:pt idx="1">
                  <c:v>472</c:v>
                </c:pt>
              </c:numCache>
            </c:numRef>
          </c:xVal>
          <c:yVal>
            <c:numRef>
              <c:f>'4'!$L$11:$M$11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8E-42CB-9AA0-B66BADD100E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'4'!$L$13:$M$13</c:f>
              <c:numCache>
                <c:formatCode>0.00</c:formatCode>
                <c:ptCount val="2"/>
                <c:pt idx="0">
                  <c:v>472</c:v>
                </c:pt>
                <c:pt idx="1">
                  <c:v>472</c:v>
                </c:pt>
              </c:numCache>
            </c:numRef>
          </c:xVal>
          <c:yVal>
            <c:numRef>
              <c:f>'4'!$L$14:$M$14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8E-42CB-9AA0-B66BADD10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'3'!$C$7:$C$33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'3'!$G$7:$G$32</c:f>
              <c:numCache>
                <c:formatCode>0.00</c:formatCode>
                <c:ptCount val="26"/>
                <c:pt idx="0">
                  <c:v>0</c:v>
                </c:pt>
                <c:pt idx="1">
                  <c:v>0.13500000000000001</c:v>
                </c:pt>
                <c:pt idx="2">
                  <c:v>0.2</c:v>
                </c:pt>
                <c:pt idx="3">
                  <c:v>0.315</c:v>
                </c:pt>
                <c:pt idx="4">
                  <c:v>0.48</c:v>
                </c:pt>
                <c:pt idx="5">
                  <c:v>0.55000000000000004</c:v>
                </c:pt>
                <c:pt idx="6">
                  <c:v>0.71500000000000008</c:v>
                </c:pt>
                <c:pt idx="7">
                  <c:v>0.95500000000000007</c:v>
                </c:pt>
                <c:pt idx="8">
                  <c:v>1.2549999999999999</c:v>
                </c:pt>
                <c:pt idx="9">
                  <c:v>1.4500000000000002</c:v>
                </c:pt>
                <c:pt idx="10">
                  <c:v>1.6600000000000001</c:v>
                </c:pt>
                <c:pt idx="11">
                  <c:v>1.8250000000000002</c:v>
                </c:pt>
                <c:pt idx="12">
                  <c:v>2.09</c:v>
                </c:pt>
                <c:pt idx="13">
                  <c:v>2.2600000000000002</c:v>
                </c:pt>
                <c:pt idx="14">
                  <c:v>2.3449999999999998</c:v>
                </c:pt>
                <c:pt idx="15">
                  <c:v>2.65</c:v>
                </c:pt>
                <c:pt idx="16">
                  <c:v>3.1349999999999998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44-44E8-AD20-97BE191162F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'3'!$L$10:$M$10</c:f>
              <c:numCache>
                <c:formatCode>0.00</c:formatCode>
                <c:ptCount val="2"/>
                <c:pt idx="0">
                  <c:v>0</c:v>
                </c:pt>
                <c:pt idx="1">
                  <c:v>488</c:v>
                </c:pt>
              </c:numCache>
            </c:numRef>
          </c:xVal>
          <c:yVal>
            <c:numRef>
              <c:f>'3'!$L$11:$M$11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44-44E8-AD20-97BE191162F7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'3'!$L$13:$M$13</c:f>
              <c:numCache>
                <c:formatCode>0.00</c:formatCode>
                <c:ptCount val="2"/>
                <c:pt idx="0">
                  <c:v>488</c:v>
                </c:pt>
                <c:pt idx="1">
                  <c:v>488</c:v>
                </c:pt>
              </c:numCache>
            </c:numRef>
          </c:xVal>
          <c:yVal>
            <c:numRef>
              <c:f>'3'!$L$14:$M$14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44-44E8-AD20-97BE1911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'2'!$C$7:$C$33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'2'!$G$7:$G$32</c:f>
              <c:numCache>
                <c:formatCode>0.00</c:formatCode>
                <c:ptCount val="26"/>
                <c:pt idx="0">
                  <c:v>0</c:v>
                </c:pt>
                <c:pt idx="1">
                  <c:v>0.18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0.53499999999999992</c:v>
                </c:pt>
                <c:pt idx="5">
                  <c:v>0.59</c:v>
                </c:pt>
                <c:pt idx="6">
                  <c:v>0.76</c:v>
                </c:pt>
                <c:pt idx="7">
                  <c:v>1.0150000000000001</c:v>
                </c:pt>
                <c:pt idx="8">
                  <c:v>1.2149999999999999</c:v>
                </c:pt>
                <c:pt idx="9">
                  <c:v>1.3</c:v>
                </c:pt>
                <c:pt idx="10">
                  <c:v>1.365</c:v>
                </c:pt>
                <c:pt idx="11">
                  <c:v>1.655</c:v>
                </c:pt>
                <c:pt idx="12">
                  <c:v>1.9049999999999998</c:v>
                </c:pt>
                <c:pt idx="13">
                  <c:v>2.0250000000000004</c:v>
                </c:pt>
                <c:pt idx="14">
                  <c:v>2.1399999999999997</c:v>
                </c:pt>
                <c:pt idx="15">
                  <c:v>2.8809999999999998</c:v>
                </c:pt>
                <c:pt idx="16">
                  <c:v>3.2904999999999998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A7-4335-81C1-9C04BDC41BA4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'2'!$L$10:$M$10</c:f>
              <c:numCache>
                <c:formatCode>0.00</c:formatCode>
                <c:ptCount val="2"/>
                <c:pt idx="0">
                  <c:v>0</c:v>
                </c:pt>
                <c:pt idx="1">
                  <c:v>499</c:v>
                </c:pt>
              </c:numCache>
            </c:numRef>
          </c:xVal>
          <c:yVal>
            <c:numRef>
              <c:f>'2'!$L$11:$M$11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A7-4335-81C1-9C04BDC41BA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'2'!$L$13:$M$13</c:f>
              <c:numCache>
                <c:formatCode>0.00</c:formatCode>
                <c:ptCount val="2"/>
                <c:pt idx="0">
                  <c:v>499</c:v>
                </c:pt>
                <c:pt idx="1">
                  <c:v>499</c:v>
                </c:pt>
              </c:numCache>
            </c:numRef>
          </c:xVal>
          <c:yVal>
            <c:numRef>
              <c:f>'2'!$L$14:$M$14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A7-4335-81C1-9C04BDC41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'1'!$C$7:$C$33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'1'!$G$7:$G$32</c:f>
              <c:numCache>
                <c:formatCode>0.00</c:formatCode>
                <c:ptCount val="26"/>
                <c:pt idx="0">
                  <c:v>0</c:v>
                </c:pt>
                <c:pt idx="1">
                  <c:v>0.20500000000000002</c:v>
                </c:pt>
                <c:pt idx="2">
                  <c:v>0.37</c:v>
                </c:pt>
                <c:pt idx="3">
                  <c:v>0.57000000000000006</c:v>
                </c:pt>
                <c:pt idx="4">
                  <c:v>0.66</c:v>
                </c:pt>
                <c:pt idx="5">
                  <c:v>0.69</c:v>
                </c:pt>
                <c:pt idx="6">
                  <c:v>0.94</c:v>
                </c:pt>
                <c:pt idx="7">
                  <c:v>1.17</c:v>
                </c:pt>
                <c:pt idx="8">
                  <c:v>1.26</c:v>
                </c:pt>
                <c:pt idx="9">
                  <c:v>1.44</c:v>
                </c:pt>
                <c:pt idx="10">
                  <c:v>1.51</c:v>
                </c:pt>
                <c:pt idx="11">
                  <c:v>1.7999999999999998</c:v>
                </c:pt>
                <c:pt idx="12">
                  <c:v>2.0049999999999999</c:v>
                </c:pt>
                <c:pt idx="13">
                  <c:v>2.06</c:v>
                </c:pt>
                <c:pt idx="14">
                  <c:v>2.2199999999999998</c:v>
                </c:pt>
                <c:pt idx="15">
                  <c:v>2.9204999999999997</c:v>
                </c:pt>
                <c:pt idx="16">
                  <c:v>3.1254999999999997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82-4930-9FD0-EEC6283480A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'1'!$L$10:$M$10</c:f>
              <c:numCache>
                <c:formatCode>0.00</c:formatCode>
                <c:ptCount val="2"/>
                <c:pt idx="0">
                  <c:v>0</c:v>
                </c:pt>
                <c:pt idx="1">
                  <c:v>493</c:v>
                </c:pt>
              </c:numCache>
            </c:numRef>
          </c:xVal>
          <c:yVal>
            <c:numRef>
              <c:f>'1'!$L$11:$M$11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82-4930-9FD0-EEC6283480A7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'1'!$L$13:$M$13</c:f>
              <c:numCache>
                <c:formatCode>0.00</c:formatCode>
                <c:ptCount val="2"/>
                <c:pt idx="0">
                  <c:v>493</c:v>
                </c:pt>
                <c:pt idx="1">
                  <c:v>493</c:v>
                </c:pt>
              </c:numCache>
            </c:numRef>
          </c:xVal>
          <c:yVal>
            <c:numRef>
              <c:f>'1'!$L$14:$M$14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82-4930-9FD0-EEC62834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7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'517'!$C$7:$C$33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</c:numCache>
            </c:numRef>
          </c:xVal>
          <c:yVal>
            <c:numRef>
              <c:f>'517'!$G$7:$G$32</c:f>
              <c:numCache>
                <c:formatCode>0.00</c:formatCode>
                <c:ptCount val="26"/>
                <c:pt idx="0">
                  <c:v>0</c:v>
                </c:pt>
                <c:pt idx="1">
                  <c:v>0.185</c:v>
                </c:pt>
                <c:pt idx="2">
                  <c:v>0.35500000000000004</c:v>
                </c:pt>
                <c:pt idx="3">
                  <c:v>0.53999999999999992</c:v>
                </c:pt>
                <c:pt idx="4">
                  <c:v>0.67999999999999994</c:v>
                </c:pt>
                <c:pt idx="5">
                  <c:v>0.83</c:v>
                </c:pt>
                <c:pt idx="6">
                  <c:v>1.0399999999999998</c:v>
                </c:pt>
                <c:pt idx="7">
                  <c:v>1.3149999999999999</c:v>
                </c:pt>
                <c:pt idx="8">
                  <c:v>1.585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D-4F57-888E-A0271FF2B0E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'517'!$L$10:$M$10</c:f>
              <c:numCache>
                <c:formatCode>0.00</c:formatCode>
                <c:ptCount val="2"/>
                <c:pt idx="0">
                  <c:v>0</c:v>
                </c:pt>
                <c:pt idx="1">
                  <c:v>239.8</c:v>
                </c:pt>
              </c:numCache>
            </c:numRef>
          </c:xVal>
          <c:yVal>
            <c:numRef>
              <c:f>'517'!$L$11:$M$11</c:f>
              <c:numCache>
                <c:formatCode>0.00</c:formatCode>
                <c:ptCount val="2"/>
                <c:pt idx="0" formatCode="General">
                  <c:v>1.25</c:v>
                </c:pt>
                <c:pt idx="1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3D-4F57-888E-A0271FF2B0E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'517'!$L$13:$M$13</c:f>
              <c:numCache>
                <c:formatCode>0.00</c:formatCode>
                <c:ptCount val="2"/>
                <c:pt idx="0">
                  <c:v>239.8</c:v>
                </c:pt>
                <c:pt idx="1">
                  <c:v>239.8</c:v>
                </c:pt>
              </c:numCache>
            </c:numRef>
          </c:xVal>
          <c:yVal>
            <c:numRef>
              <c:f>'517'!$L$14:$M$14</c:f>
              <c:numCache>
                <c:formatCode>0.00</c:formatCode>
                <c:ptCount val="2"/>
                <c:pt idx="0" formatCode="General">
                  <c:v>1.25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3D-4F57-888E-A0271FF2B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5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'양식(40)'!$C$7:$C$33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</c:numCache>
            </c:numRef>
          </c:xVal>
          <c:yVal>
            <c:numRef>
              <c:f>'양식(40)'!$G$7:$G$32</c:f>
              <c:numCache>
                <c:formatCode>0.00</c:formatCode>
                <c:ptCount val="26"/>
                <c:pt idx="0">
                  <c:v>0</c:v>
                </c:pt>
                <c:pt idx="1">
                  <c:v>0.16500000000000001</c:v>
                </c:pt>
                <c:pt idx="2">
                  <c:v>0.37</c:v>
                </c:pt>
                <c:pt idx="3">
                  <c:v>0.56499999999999995</c:v>
                </c:pt>
                <c:pt idx="4">
                  <c:v>0.87</c:v>
                </c:pt>
                <c:pt idx="5">
                  <c:v>1.0349999999999999</c:v>
                </c:pt>
                <c:pt idx="6">
                  <c:v>1.135</c:v>
                </c:pt>
                <c:pt idx="7">
                  <c:v>1.3250000000000002</c:v>
                </c:pt>
                <c:pt idx="8">
                  <c:v>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F-49CC-B39B-1228C9EA8A56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'양식(40)'!$L$10:$M$10</c:f>
              <c:numCache>
                <c:formatCode>0.00</c:formatCode>
                <c:ptCount val="2"/>
                <c:pt idx="0">
                  <c:v>0</c:v>
                </c:pt>
                <c:pt idx="1">
                  <c:v>219.5</c:v>
                </c:pt>
              </c:numCache>
            </c:numRef>
          </c:xVal>
          <c:yVal>
            <c:numRef>
              <c:f>'양식(40)'!$L$11:$M$11</c:f>
              <c:numCache>
                <c:formatCode>0.00</c:formatCode>
                <c:ptCount val="2"/>
                <c:pt idx="0" formatCode="General">
                  <c:v>1.25</c:v>
                </c:pt>
                <c:pt idx="1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EF-49CC-B39B-1228C9EA8A5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'양식(40)'!$L$13:$M$13</c:f>
              <c:numCache>
                <c:formatCode>0.00</c:formatCode>
                <c:ptCount val="2"/>
                <c:pt idx="0">
                  <c:v>219.5</c:v>
                </c:pt>
                <c:pt idx="1">
                  <c:v>219.5</c:v>
                </c:pt>
              </c:numCache>
            </c:numRef>
          </c:xVal>
          <c:yVal>
            <c:numRef>
              <c:f>'양식(40)'!$L$14:$M$14</c:f>
              <c:numCache>
                <c:formatCode>0.00</c:formatCode>
                <c:ptCount val="2"/>
                <c:pt idx="0" formatCode="General">
                  <c:v>1.25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EF-49CC-B39B-1228C9EA8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5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5988857629582"/>
          <c:y val="0.14425152738260658"/>
          <c:w val="0.83774156137459566"/>
          <c:h val="0.8036546902225457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forward val="4.2"/>
            <c:dispRSqr val="0"/>
            <c:dispEq val="0"/>
          </c:trendline>
          <c:xVal>
            <c:numRef>
              <c:f>'양식(30)'!$C$7:$C$33</c:f>
              <c:numCache>
                <c:formatCode>0.0_ </c:formatCode>
                <c:ptCount val="27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  <c:pt idx="16">
                  <c:v>560</c:v>
                </c:pt>
              </c:numCache>
            </c:numRef>
          </c:xVal>
          <c:yVal>
            <c:numRef>
              <c:f>'양식(30)'!$G$7:$G$32</c:f>
              <c:numCache>
                <c:formatCode>0.00</c:formatCode>
                <c:ptCount val="26"/>
                <c:pt idx="0">
                  <c:v>0</c:v>
                </c:pt>
                <c:pt idx="1">
                  <c:v>0.20500000000000002</c:v>
                </c:pt>
                <c:pt idx="2">
                  <c:v>0.37</c:v>
                </c:pt>
                <c:pt idx="3">
                  <c:v>0.57000000000000006</c:v>
                </c:pt>
                <c:pt idx="4">
                  <c:v>0.66</c:v>
                </c:pt>
                <c:pt idx="5">
                  <c:v>0.69</c:v>
                </c:pt>
                <c:pt idx="6">
                  <c:v>0.94</c:v>
                </c:pt>
                <c:pt idx="7">
                  <c:v>1.17</c:v>
                </c:pt>
                <c:pt idx="8">
                  <c:v>1.26</c:v>
                </c:pt>
                <c:pt idx="9">
                  <c:v>1.44</c:v>
                </c:pt>
                <c:pt idx="10">
                  <c:v>1.51</c:v>
                </c:pt>
                <c:pt idx="11">
                  <c:v>1.7999999999999998</c:v>
                </c:pt>
                <c:pt idx="12">
                  <c:v>2.0049999999999999</c:v>
                </c:pt>
                <c:pt idx="13">
                  <c:v>2.06</c:v>
                </c:pt>
                <c:pt idx="14">
                  <c:v>2.2199999999999998</c:v>
                </c:pt>
                <c:pt idx="15">
                  <c:v>2.9204999999999997</c:v>
                </c:pt>
                <c:pt idx="16">
                  <c:v>3.1254999999999997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DA-4F02-A620-F4349A3F391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'양식(30)'!$L$10:$M$10</c:f>
              <c:numCache>
                <c:formatCode>0.00</c:formatCode>
                <c:ptCount val="2"/>
                <c:pt idx="0">
                  <c:v>0</c:v>
                </c:pt>
                <c:pt idx="1">
                  <c:v>493</c:v>
                </c:pt>
              </c:numCache>
            </c:numRef>
          </c:xVal>
          <c:yVal>
            <c:numRef>
              <c:f>'양식(30)'!$L$11:$M$11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DA-4F02-A620-F4349A3F391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 w="9525">
                <a:noFill/>
              </a:ln>
            </c:spPr>
          </c:marker>
          <c:xVal>
            <c:numRef>
              <c:f>'양식(30)'!$L$13:$M$13</c:f>
              <c:numCache>
                <c:formatCode>0.00</c:formatCode>
                <c:ptCount val="2"/>
                <c:pt idx="0">
                  <c:v>493</c:v>
                </c:pt>
                <c:pt idx="1">
                  <c:v>493</c:v>
                </c:pt>
              </c:numCache>
            </c:numRef>
          </c:xVal>
          <c:yVal>
            <c:numRef>
              <c:f>'양식(30)'!$L$14:$M$14</c:f>
              <c:numCache>
                <c:formatCode>0.00</c:formatCode>
                <c:ptCount val="2"/>
                <c:pt idx="0" formatCode="General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DA-4F02-A620-F4349A3F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00000"/>
        <c:axId val="225255808"/>
      </c:scatterChart>
      <c:valAx>
        <c:axId val="225200000"/>
        <c:scaling>
          <c:orientation val="minMax"/>
          <c:max val="5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하중강도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(KN/㎡)</a:t>
                </a:r>
              </a:p>
            </c:rich>
          </c:tx>
          <c:layout>
            <c:manualLayout>
              <c:xMode val="edge"/>
              <c:yMode val="edge"/>
              <c:x val="0.81137209857224502"/>
              <c:y val="1.3592271554291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55808"/>
        <c:crosses val="autoZero"/>
        <c:crossBetween val="midCat"/>
        <c:majorUnit val="50"/>
        <c:minorUnit val="10"/>
      </c:valAx>
      <c:valAx>
        <c:axId val="225255808"/>
        <c:scaling>
          <c:orientation val="maxMin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맑은 고딕"/>
                  </a:defRPr>
                </a:pPr>
                <a:r>
                  <a:rPr lang="ko-KR" altLang="en-US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침하량</a:t>
                </a:r>
                <a:r>
                  <a:rPr lang="en-US" altLang="ko-KR" sz="800" b="0" i="0" strike="noStrike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1.9078312885307942E-2"/>
              <c:y val="0.715527029709521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돋움"/>
              </a:defRPr>
            </a:pPr>
            <a:endParaRPr lang="ko-KR"/>
          </a:p>
        </c:txPr>
        <c:crossAx val="225200000"/>
        <c:crosses val="autoZero"/>
        <c:crossBetween val="midCat"/>
        <c:majorUnit val="0.5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1</xdr:row>
      <xdr:rowOff>57150</xdr:rowOff>
    </xdr:from>
    <xdr:to>
      <xdr:col>21</xdr:col>
      <xdr:colOff>552450</xdr:colOff>
      <xdr:row>16</xdr:row>
      <xdr:rowOff>156882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3B0EA677-2B57-4E4B-9D87-5FE2FD1A3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1</xdr:row>
      <xdr:rowOff>57150</xdr:rowOff>
    </xdr:from>
    <xdr:to>
      <xdr:col>21</xdr:col>
      <xdr:colOff>552450</xdr:colOff>
      <xdr:row>17</xdr:row>
      <xdr:rowOff>285750</xdr:rowOff>
    </xdr:to>
    <xdr:graphicFrame macro="">
      <xdr:nvGraphicFramePr>
        <xdr:cNvPr id="9" name="Chart 539">
          <a:extLst>
            <a:ext uri="{FF2B5EF4-FFF2-40B4-BE49-F238E27FC236}">
              <a16:creationId xmlns:a16="http://schemas.microsoft.com/office/drawing/2014/main" id="{CC97476F-6B89-466C-A7B1-688E34997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94696105-4C02-4CD3-8BA4-915A12FF1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BA78E8E9-4180-476C-8C20-8DEE62948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2F656E0-0358-44F0-8A4F-97EE31858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8BE9F292-FED9-4CFC-B538-48D278EBA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7070E9E1-8D09-436C-B20C-21A980245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6915682-DCF2-4C51-AA65-50BC6BDEF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57842B37-7685-4A87-907B-E16BE3119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F68AA8EF-400F-4379-AFAB-60F5B0400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ACA2FC0-74E0-4AE3-A07C-7E1F81E56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59E02302-EAB8-458B-B62F-2CFB5C40C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A3B33D10-C076-48D5-AD11-D021C7A32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75508FBC-BD6D-44C7-8B16-30E7D240C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BB487B6C-B364-4ABF-9778-4CD7313D5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2D4FF31C-205D-4EBE-B731-77CE23AC7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8BCF82C2-8A53-4A45-BE46-DC1610C5F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BF62867F-A2CC-400E-9571-A4D011A99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EF6BEBB9-DA01-4DE6-9916-447E60162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C75E01E7-6A62-49BB-B84C-E167FA8C7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77843339-2178-44BE-B576-35959CACD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D3DEF1F3-126E-4758-9178-9DEBF1AE9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C8654C4F-C75D-41A0-84B9-169A64D2B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483D3E55-7BB1-4FEC-8B1F-5C4462590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F98219EE-54D5-4898-AF60-413C31E31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59C5D8D7-CE84-4621-A832-3EB8FA2E2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3AD0387B-F400-494A-B483-AA2E58959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EFC1BD6B-058E-4B15-A801-A4CBA3057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A68E9B6D-AB26-47EE-9A6D-6103AC8F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A5BB10B1-C8EC-4437-90F3-438BEBEBB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5925750D-58E5-4315-BEBF-9C6E8610F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822D562C-48A1-4BDD-849F-538AD0B9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4715B834-F363-4910-AEF8-C2553B27D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75BAF8A8-FAB5-4895-9AFD-90B727EAD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73AE4CF3-73C6-477F-978D-D3925C3E2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3693CA1-F016-4130-8AB3-F51A80536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DAACF797-A750-4ECE-AFA5-733302F3D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C32F1854-F379-44EA-8A25-FE7C3850E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4FFB3B8-8757-4208-A239-9E308C82E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226E3ED0-FDF1-4B98-A896-A43CD501E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C81D516E-5018-44A9-B2E9-628222060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55907</xdr:colOff>
      <xdr:row>25</xdr:row>
      <xdr:rowOff>64191</xdr:rowOff>
    </xdr:from>
    <xdr:to>
      <xdr:col>6</xdr:col>
      <xdr:colOff>617882</xdr:colOff>
      <xdr:row>36</xdr:row>
      <xdr:rowOff>197541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A207F0F4-003F-466F-8B96-DB85CAE97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B0F012FF-1A5B-475D-ABC1-E163C839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2A5BF08-9B96-4BAB-A882-5B67C95B2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15B34372-1052-43B7-AD0B-E136933EE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694FF09D-0C5E-47C5-BC39-3CB7E2700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7A0B962C-6219-4B40-96FC-E2AB53C29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F139F21A-CF2B-4226-BFEE-87E82ECB3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CFDE563E-386C-44B1-B4F9-2616FB0FE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BF47D493-5612-4D7B-9902-0862A28D8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4A76A330-7997-41BE-A469-62535CB3E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26EE15F0-84BA-4298-A4B7-4122C6EA1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47625</xdr:rowOff>
    </xdr:from>
    <xdr:to>
      <xdr:col>6</xdr:col>
      <xdr:colOff>609600</xdr:colOff>
      <xdr:row>36</xdr:row>
      <xdr:rowOff>180975</xdr:rowOff>
    </xdr:to>
    <xdr:graphicFrame macro="">
      <xdr:nvGraphicFramePr>
        <xdr:cNvPr id="2" name="Chart 539">
          <a:extLst>
            <a:ext uri="{FF2B5EF4-FFF2-40B4-BE49-F238E27FC236}">
              <a16:creationId xmlns:a16="http://schemas.microsoft.com/office/drawing/2014/main" id="{DA723973-B6AF-4AD4-A980-07B8F4477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0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5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8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9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0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1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2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3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4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5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6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7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48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9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0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1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E1BC-4BEF-47F1-8E24-6CDAC00C6E1A}">
  <sheetPr>
    <tabColor rgb="FFFFFF00"/>
  </sheetPr>
  <dimension ref="A1:K93"/>
  <sheetViews>
    <sheetView view="pageBreakPreview" topLeftCell="A4" zoomScaleNormal="85" zoomScaleSheetLayoutView="100" workbookViewId="0">
      <selection activeCell="E4" sqref="E4:F20"/>
    </sheetView>
  </sheetViews>
  <sheetFormatPr defaultColWidth="9" defaultRowHeight="24.95" customHeight="1"/>
  <cols>
    <col min="1" max="16384" width="9" style="35"/>
  </cols>
  <sheetData>
    <row r="1" spans="1:11" ht="27.75" customHeight="1">
      <c r="E1" s="259" t="s">
        <v>67</v>
      </c>
      <c r="F1" s="259"/>
    </row>
    <row r="2" spans="1:11" ht="27.75" customHeight="1">
      <c r="A2" s="260" t="s">
        <v>7</v>
      </c>
      <c r="B2" s="261"/>
      <c r="C2" s="262"/>
      <c r="D2" s="102"/>
      <c r="E2" s="263" t="s">
        <v>61</v>
      </c>
      <c r="F2" s="264"/>
      <c r="G2" s="100"/>
      <c r="H2" s="265"/>
      <c r="I2" s="266"/>
      <c r="J2" s="266"/>
      <c r="K2" s="266"/>
    </row>
    <row r="3" spans="1:11" ht="27.75" customHeight="1" thickBot="1">
      <c r="A3" s="95" t="s">
        <v>41</v>
      </c>
      <c r="B3" s="96" t="s">
        <v>65</v>
      </c>
      <c r="C3" s="97" t="s">
        <v>66</v>
      </c>
      <c r="D3" s="7" t="s">
        <v>8</v>
      </c>
      <c r="E3" s="128" t="s">
        <v>62</v>
      </c>
      <c r="F3" s="129" t="s">
        <v>63</v>
      </c>
      <c r="G3" s="10" t="s">
        <v>9</v>
      </c>
      <c r="H3" s="267"/>
      <c r="I3" s="268"/>
      <c r="J3" s="268"/>
      <c r="K3" s="268"/>
    </row>
    <row r="4" spans="1:11" ht="27.75" customHeight="1" thickTop="1">
      <c r="A4" s="11">
        <v>0</v>
      </c>
      <c r="B4" s="12">
        <v>0</v>
      </c>
      <c r="C4" s="13">
        <v>0</v>
      </c>
      <c r="D4" s="14">
        <v>0</v>
      </c>
      <c r="E4" s="130">
        <v>0</v>
      </c>
      <c r="F4" s="131">
        <v>0</v>
      </c>
      <c r="G4" s="16">
        <f>(E4+F4)/2</f>
        <v>0</v>
      </c>
      <c r="H4" s="117"/>
      <c r="I4" s="118" t="s">
        <v>64</v>
      </c>
      <c r="J4" s="159">
        <v>0.7</v>
      </c>
      <c r="K4" s="159">
        <v>0.7</v>
      </c>
    </row>
    <row r="5" spans="1:11" ht="27.75" customHeight="1">
      <c r="A5" s="18">
        <v>1</v>
      </c>
      <c r="B5" s="19">
        <v>450</v>
      </c>
      <c r="C5" s="20">
        <v>35</v>
      </c>
      <c r="D5" s="21">
        <f ca="1">G5-G$4</f>
        <v>0.45999999999999996</v>
      </c>
      <c r="E5" s="132">
        <f t="shared" ref="E5:F20" ca="1" si="0">ROUNDUP(E4+H5,3)</f>
        <v>0.48</v>
      </c>
      <c r="F5" s="132">
        <f t="shared" ca="1" si="0"/>
        <v>0.44</v>
      </c>
      <c r="G5" s="23">
        <f ca="1">IFERROR((E5+F5)/2," ")</f>
        <v>0.45999999999999996</v>
      </c>
      <c r="H5" s="120">
        <f ca="1">ROUNDUP(RAND()/J5/3,2)</f>
        <v>0.48</v>
      </c>
      <c r="I5" s="121">
        <f ca="1">ROUNDUP(RAND()/K5/3,2)</f>
        <v>0.44</v>
      </c>
      <c r="J5" s="122">
        <f t="shared" ref="J5:K9" si="1">J4</f>
        <v>0.7</v>
      </c>
      <c r="K5" s="122">
        <f t="shared" si="1"/>
        <v>0.7</v>
      </c>
    </row>
    <row r="6" spans="1:11" ht="27.75" customHeight="1">
      <c r="A6" s="18">
        <v>2</v>
      </c>
      <c r="B6" s="19">
        <v>900</v>
      </c>
      <c r="C6" s="20">
        <v>70</v>
      </c>
      <c r="D6" s="21">
        <f t="shared" ref="D6:D20" ca="1" si="2">G6-G$4</f>
        <v>0.625</v>
      </c>
      <c r="E6" s="132">
        <f t="shared" ca="1" si="0"/>
        <v>0.53</v>
      </c>
      <c r="F6" s="132">
        <f t="shared" ca="1" si="0"/>
        <v>0.72</v>
      </c>
      <c r="G6" s="23">
        <f t="shared" ref="G6:G20" ca="1" si="3">IFERROR((E6+F6)/2," ")</f>
        <v>0.625</v>
      </c>
      <c r="H6" s="120">
        <f t="shared" ref="H6:I18" ca="1" si="4">ROUNDUP(RAND()/J6/3,2)</f>
        <v>0.05</v>
      </c>
      <c r="I6" s="121">
        <f t="shared" ca="1" si="4"/>
        <v>0.28000000000000003</v>
      </c>
      <c r="J6" s="123">
        <f t="shared" si="1"/>
        <v>0.7</v>
      </c>
      <c r="K6" s="123">
        <f t="shared" si="1"/>
        <v>0.7</v>
      </c>
    </row>
    <row r="7" spans="1:11" ht="27.75" customHeight="1">
      <c r="A7" s="18">
        <v>3</v>
      </c>
      <c r="B7" s="19">
        <v>1350</v>
      </c>
      <c r="C7" s="20">
        <v>105</v>
      </c>
      <c r="D7" s="21">
        <f t="shared" ca="1" si="2"/>
        <v>0.85499999999999998</v>
      </c>
      <c r="E7" s="132">
        <f t="shared" ca="1" si="0"/>
        <v>0.98</v>
      </c>
      <c r="F7" s="132">
        <f t="shared" ca="1" si="0"/>
        <v>0.73</v>
      </c>
      <c r="G7" s="23">
        <f t="shared" ca="1" si="3"/>
        <v>0.85499999999999998</v>
      </c>
      <c r="H7" s="120">
        <f t="shared" ca="1" si="4"/>
        <v>0.45</v>
      </c>
      <c r="I7" s="121">
        <f t="shared" ca="1" si="4"/>
        <v>0.01</v>
      </c>
      <c r="J7" s="123">
        <f t="shared" si="1"/>
        <v>0.7</v>
      </c>
      <c r="K7" s="123">
        <f t="shared" si="1"/>
        <v>0.7</v>
      </c>
    </row>
    <row r="8" spans="1:11" ht="27.75" customHeight="1">
      <c r="A8" s="18">
        <v>4</v>
      </c>
      <c r="B8" s="19">
        <v>1800</v>
      </c>
      <c r="C8" s="20">
        <v>140</v>
      </c>
      <c r="D8" s="21">
        <f t="shared" ca="1" si="2"/>
        <v>1.135</v>
      </c>
      <c r="E8" s="132">
        <f t="shared" ca="1" si="0"/>
        <v>1.36</v>
      </c>
      <c r="F8" s="132">
        <f t="shared" ca="1" si="0"/>
        <v>0.91</v>
      </c>
      <c r="G8" s="23">
        <f t="shared" ca="1" si="3"/>
        <v>1.135</v>
      </c>
      <c r="H8" s="120">
        <f t="shared" ca="1" si="4"/>
        <v>0.38</v>
      </c>
      <c r="I8" s="121">
        <f t="shared" ca="1" si="4"/>
        <v>0.18000000000000002</v>
      </c>
      <c r="J8" s="123">
        <f t="shared" si="1"/>
        <v>0.7</v>
      </c>
      <c r="K8" s="123">
        <f t="shared" si="1"/>
        <v>0.7</v>
      </c>
    </row>
    <row r="9" spans="1:11" ht="27.75" customHeight="1">
      <c r="A9" s="18">
        <v>5</v>
      </c>
      <c r="B9" s="19">
        <v>2250</v>
      </c>
      <c r="C9" s="20">
        <v>175</v>
      </c>
      <c r="D9" s="21">
        <f t="shared" ca="1" si="2"/>
        <v>1.3199999999999998</v>
      </c>
      <c r="E9" s="132">
        <f t="shared" ca="1" si="0"/>
        <v>1.41</v>
      </c>
      <c r="F9" s="132">
        <f t="shared" ca="1" si="0"/>
        <v>1.23</v>
      </c>
      <c r="G9" s="23">
        <f t="shared" ca="1" si="3"/>
        <v>1.3199999999999998</v>
      </c>
      <c r="H9" s="120">
        <f t="shared" ca="1" si="4"/>
        <v>0.05</v>
      </c>
      <c r="I9" s="121">
        <f t="shared" ca="1" si="4"/>
        <v>0.32</v>
      </c>
      <c r="J9" s="123">
        <f t="shared" si="1"/>
        <v>0.7</v>
      </c>
      <c r="K9" s="123">
        <f t="shared" si="1"/>
        <v>0.7</v>
      </c>
    </row>
    <row r="10" spans="1:11" ht="27.75" customHeight="1">
      <c r="A10" s="18">
        <v>6</v>
      </c>
      <c r="B10" s="19">
        <v>2700</v>
      </c>
      <c r="C10" s="20">
        <v>210</v>
      </c>
      <c r="D10" s="21">
        <f t="shared" ca="1" si="2"/>
        <v>1.4300000000000002</v>
      </c>
      <c r="E10" s="132">
        <f t="shared" ca="1" si="0"/>
        <v>1.56</v>
      </c>
      <c r="F10" s="132">
        <f t="shared" ca="1" si="0"/>
        <v>1.3</v>
      </c>
      <c r="G10" s="23">
        <f t="shared" ca="1" si="3"/>
        <v>1.4300000000000002</v>
      </c>
      <c r="H10" s="120">
        <f t="shared" ca="1" si="4"/>
        <v>0.15000000000000002</v>
      </c>
      <c r="I10" s="121">
        <f t="shared" ca="1" si="4"/>
        <v>6.9999999999999993E-2</v>
      </c>
      <c r="J10" s="160">
        <f>J4+0.6</f>
        <v>1.2999999999999998</v>
      </c>
      <c r="K10" s="160">
        <f>K4+0.6</f>
        <v>1.2999999999999998</v>
      </c>
    </row>
    <row r="11" spans="1:11" ht="27.75" customHeight="1">
      <c r="A11" s="18">
        <v>7</v>
      </c>
      <c r="B11" s="19">
        <v>3140</v>
      </c>
      <c r="C11" s="20">
        <v>245</v>
      </c>
      <c r="D11" s="21">
        <f t="shared" ca="1" si="2"/>
        <v>1.5499999999999998</v>
      </c>
      <c r="E11" s="132">
        <f t="shared" ca="1" si="0"/>
        <v>1.71</v>
      </c>
      <c r="F11" s="132">
        <f t="shared" ca="1" si="0"/>
        <v>1.39</v>
      </c>
      <c r="G11" s="23">
        <f t="shared" ca="1" si="3"/>
        <v>1.5499999999999998</v>
      </c>
      <c r="H11" s="120">
        <f t="shared" ca="1" si="4"/>
        <v>0.15000000000000002</v>
      </c>
      <c r="I11" s="121">
        <f t="shared" ca="1" si="4"/>
        <v>0.09</v>
      </c>
      <c r="J11" s="123">
        <f t="shared" ref="J11:K16" si="5">J10</f>
        <v>1.2999999999999998</v>
      </c>
      <c r="K11" s="123">
        <f t="shared" si="5"/>
        <v>1.2999999999999998</v>
      </c>
    </row>
    <row r="12" spans="1:11" ht="27.75" customHeight="1">
      <c r="A12" s="18">
        <v>8</v>
      </c>
      <c r="B12" s="19">
        <v>3590</v>
      </c>
      <c r="C12" s="20">
        <v>280</v>
      </c>
      <c r="D12" s="21">
        <f t="shared" ca="1" si="2"/>
        <v>1.69</v>
      </c>
      <c r="E12" s="132">
        <f t="shared" ca="1" si="0"/>
        <v>1.77</v>
      </c>
      <c r="F12" s="132">
        <f t="shared" ca="1" si="0"/>
        <v>1.61</v>
      </c>
      <c r="G12" s="23">
        <f t="shared" ca="1" si="3"/>
        <v>1.69</v>
      </c>
      <c r="H12" s="120">
        <f t="shared" ca="1" si="4"/>
        <v>6.0000000000000005E-2</v>
      </c>
      <c r="I12" s="121">
        <f t="shared" ca="1" si="4"/>
        <v>0.22</v>
      </c>
      <c r="J12" s="123">
        <f t="shared" si="5"/>
        <v>1.2999999999999998</v>
      </c>
      <c r="K12" s="123">
        <f t="shared" si="5"/>
        <v>1.2999999999999998</v>
      </c>
    </row>
    <row r="13" spans="1:11" ht="27.75" customHeight="1">
      <c r="A13" s="18">
        <v>9</v>
      </c>
      <c r="B13" s="19">
        <v>4040</v>
      </c>
      <c r="C13" s="20">
        <v>315</v>
      </c>
      <c r="D13" s="21">
        <f t="shared" ca="1" si="2"/>
        <v>1.8049999999999999</v>
      </c>
      <c r="E13" s="132">
        <f t="shared" ca="1" si="0"/>
        <v>1.89</v>
      </c>
      <c r="F13" s="132">
        <f t="shared" ca="1" si="0"/>
        <v>1.72</v>
      </c>
      <c r="G13" s="23">
        <f t="shared" ca="1" si="3"/>
        <v>1.8049999999999999</v>
      </c>
      <c r="H13" s="120">
        <f t="shared" ca="1" si="4"/>
        <v>0.12</v>
      </c>
      <c r="I13" s="121">
        <f t="shared" ca="1" si="4"/>
        <v>0.11</v>
      </c>
      <c r="J13" s="123">
        <f t="shared" si="5"/>
        <v>1.2999999999999998</v>
      </c>
      <c r="K13" s="123">
        <f t="shared" si="5"/>
        <v>1.2999999999999998</v>
      </c>
    </row>
    <row r="14" spans="1:11" ht="27.75" customHeight="1">
      <c r="A14" s="18">
        <v>10</v>
      </c>
      <c r="B14" s="19">
        <v>4490</v>
      </c>
      <c r="C14" s="20">
        <v>350</v>
      </c>
      <c r="D14" s="21">
        <f t="shared" ca="1" si="2"/>
        <v>1.9550000000000001</v>
      </c>
      <c r="E14" s="132">
        <f t="shared" ca="1" si="0"/>
        <v>1.97</v>
      </c>
      <c r="F14" s="132">
        <f t="shared" ca="1" si="0"/>
        <v>1.94</v>
      </c>
      <c r="G14" s="23">
        <f t="shared" ca="1" si="3"/>
        <v>1.9550000000000001</v>
      </c>
      <c r="H14" s="120">
        <f t="shared" ca="1" si="4"/>
        <v>0.08</v>
      </c>
      <c r="I14" s="121">
        <f t="shared" ca="1" si="4"/>
        <v>0.22</v>
      </c>
      <c r="J14" s="123">
        <f t="shared" si="5"/>
        <v>1.2999999999999998</v>
      </c>
      <c r="K14" s="123">
        <f t="shared" si="5"/>
        <v>1.2999999999999998</v>
      </c>
    </row>
    <row r="15" spans="1:11" ht="27.75" customHeight="1">
      <c r="A15" s="18">
        <v>11</v>
      </c>
      <c r="B15" s="19">
        <v>4940</v>
      </c>
      <c r="C15" s="20">
        <v>385</v>
      </c>
      <c r="D15" s="21">
        <f t="shared" ca="1" si="2"/>
        <v>2.085</v>
      </c>
      <c r="E15" s="132">
        <f t="shared" ca="1" si="0"/>
        <v>2.04</v>
      </c>
      <c r="F15" s="132">
        <f t="shared" ca="1" si="0"/>
        <v>2.13</v>
      </c>
      <c r="G15" s="23">
        <f t="shared" ca="1" si="3"/>
        <v>2.085</v>
      </c>
      <c r="H15" s="120">
        <f t="shared" ca="1" si="4"/>
        <v>6.9999999999999993E-2</v>
      </c>
      <c r="I15" s="121">
        <f t="shared" ca="1" si="4"/>
        <v>0.19</v>
      </c>
      <c r="J15" s="123">
        <f t="shared" si="5"/>
        <v>1.2999999999999998</v>
      </c>
      <c r="K15" s="123">
        <f t="shared" si="5"/>
        <v>1.2999999999999998</v>
      </c>
    </row>
    <row r="16" spans="1:11" ht="27.75" customHeight="1">
      <c r="A16" s="18">
        <v>12</v>
      </c>
      <c r="B16" s="19">
        <v>5390</v>
      </c>
      <c r="C16" s="20">
        <v>420</v>
      </c>
      <c r="D16" s="21">
        <f t="shared" ca="1" si="2"/>
        <v>2.33</v>
      </c>
      <c r="E16" s="132">
        <f t="shared" ca="1" si="0"/>
        <v>2.27</v>
      </c>
      <c r="F16" s="132">
        <f t="shared" ca="1" si="0"/>
        <v>2.39</v>
      </c>
      <c r="G16" s="23">
        <f t="shared" ca="1" si="3"/>
        <v>2.33</v>
      </c>
      <c r="H16" s="120">
        <f t="shared" ca="1" si="4"/>
        <v>0.23</v>
      </c>
      <c r="I16" s="121">
        <f t="shared" ca="1" si="4"/>
        <v>0.26</v>
      </c>
      <c r="J16" s="123">
        <f t="shared" si="5"/>
        <v>1.2999999999999998</v>
      </c>
      <c r="K16" s="123">
        <f t="shared" si="5"/>
        <v>1.2999999999999998</v>
      </c>
    </row>
    <row r="17" spans="1:11" ht="27.75" customHeight="1">
      <c r="A17" s="18">
        <v>13</v>
      </c>
      <c r="B17" s="19"/>
      <c r="C17" s="20">
        <v>455</v>
      </c>
      <c r="D17" s="21">
        <f t="shared" ca="1" si="2"/>
        <v>2.4450000000000003</v>
      </c>
      <c r="E17" s="132">
        <f t="shared" ca="1" si="0"/>
        <v>2.46</v>
      </c>
      <c r="F17" s="132">
        <f t="shared" ca="1" si="0"/>
        <v>2.4300000000000002</v>
      </c>
      <c r="G17" s="23">
        <f t="shared" ca="1" si="3"/>
        <v>2.4450000000000003</v>
      </c>
      <c r="H17" s="120">
        <f t="shared" ca="1" si="4"/>
        <v>0.19</v>
      </c>
      <c r="I17" s="121">
        <f t="shared" ca="1" si="4"/>
        <v>0.04</v>
      </c>
      <c r="J17" s="161">
        <f>J10+0.2</f>
        <v>1.4999999999999998</v>
      </c>
      <c r="K17" s="161">
        <f>K10+0.2</f>
        <v>1.4999999999999998</v>
      </c>
    </row>
    <row r="18" spans="1:11" ht="27.75" customHeight="1">
      <c r="A18" s="18">
        <v>14</v>
      </c>
      <c r="B18" s="19"/>
      <c r="C18" s="20">
        <v>490</v>
      </c>
      <c r="D18" s="21">
        <f t="shared" ca="1" si="2"/>
        <v>2.5649999999999999</v>
      </c>
      <c r="E18" s="132">
        <f t="shared" ca="1" si="0"/>
        <v>2.6</v>
      </c>
      <c r="F18" s="132">
        <f t="shared" ca="1" si="0"/>
        <v>2.5299999999999998</v>
      </c>
      <c r="G18" s="23">
        <f t="shared" ca="1" si="3"/>
        <v>2.5649999999999999</v>
      </c>
      <c r="H18" s="120">
        <f t="shared" ca="1" si="4"/>
        <v>0.14000000000000001</v>
      </c>
      <c r="I18" s="121">
        <f t="shared" ca="1" si="4"/>
        <v>9.9999999999999992E-2</v>
      </c>
      <c r="J18" s="123">
        <f t="shared" ref="J18:K24" si="6">J17</f>
        <v>1.4999999999999998</v>
      </c>
      <c r="K18" s="123">
        <f t="shared" si="6"/>
        <v>1.4999999999999998</v>
      </c>
    </row>
    <row r="19" spans="1:11" ht="27.75" customHeight="1">
      <c r="A19" s="18">
        <v>15</v>
      </c>
      <c r="C19" s="20">
        <v>525</v>
      </c>
      <c r="D19" s="21">
        <f t="shared" ca="1" si="2"/>
        <v>3.08</v>
      </c>
      <c r="E19" s="132">
        <f t="shared" ca="1" si="0"/>
        <v>3.3719999999999999</v>
      </c>
      <c r="F19" s="132">
        <f t="shared" ca="1" si="0"/>
        <v>2.7879999999999998</v>
      </c>
      <c r="G19" s="23">
        <f t="shared" ca="1" si="3"/>
        <v>3.08</v>
      </c>
      <c r="H19" s="125">
        <f t="shared" ref="H19:I24" ca="1" si="7">ROUNDUP(RAND()/J19,2)/J$4</f>
        <v>0.77142857142857157</v>
      </c>
      <c r="I19" s="98">
        <f t="shared" ca="1" si="7"/>
        <v>0.25714285714285717</v>
      </c>
      <c r="J19" s="123">
        <f t="shared" si="6"/>
        <v>1.4999999999999998</v>
      </c>
      <c r="K19" s="123">
        <f t="shared" si="6"/>
        <v>1.4999999999999998</v>
      </c>
    </row>
    <row r="20" spans="1:11" ht="27.75" customHeight="1">
      <c r="A20" s="18">
        <v>16</v>
      </c>
      <c r="C20" s="20">
        <v>560</v>
      </c>
      <c r="D20" s="21">
        <f t="shared" ca="1" si="2"/>
        <v>3.6945000000000001</v>
      </c>
      <c r="E20" s="132">
        <f t="shared" ca="1" si="0"/>
        <v>4.2720000000000002</v>
      </c>
      <c r="F20" s="132">
        <f t="shared" ca="1" si="0"/>
        <v>3.117</v>
      </c>
      <c r="G20" s="23">
        <f t="shared" ca="1" si="3"/>
        <v>3.6945000000000001</v>
      </c>
      <c r="H20" s="125">
        <f t="shared" ca="1" si="7"/>
        <v>0.9</v>
      </c>
      <c r="I20" s="98">
        <f t="shared" ca="1" si="7"/>
        <v>0.32857142857142863</v>
      </c>
      <c r="J20" s="123">
        <f t="shared" si="6"/>
        <v>1.4999999999999998</v>
      </c>
      <c r="K20" s="123">
        <f t="shared" si="6"/>
        <v>1.4999999999999998</v>
      </c>
    </row>
    <row r="21" spans="1:11" ht="27.75" customHeight="1">
      <c r="C21" s="20"/>
      <c r="D21" s="21"/>
      <c r="E21" s="132"/>
      <c r="F21" s="132"/>
      <c r="G21" s="23"/>
      <c r="H21" s="125">
        <f t="shared" ca="1" si="7"/>
        <v>0.28571428571428575</v>
      </c>
      <c r="I21" s="98" t="e">
        <f t="shared" ca="1" si="7"/>
        <v>#DIV/0!</v>
      </c>
      <c r="J21" s="126">
        <f t="shared" si="6"/>
        <v>1.4999999999999998</v>
      </c>
      <c r="K21" s="126"/>
    </row>
    <row r="22" spans="1:11" ht="27.75" customHeight="1">
      <c r="E22" s="98"/>
      <c r="F22" s="99"/>
      <c r="G22" s="101"/>
      <c r="H22" s="125">
        <f t="shared" ca="1" si="7"/>
        <v>0.74285714285714288</v>
      </c>
      <c r="I22" s="98" t="e">
        <f t="shared" ca="1" si="7"/>
        <v>#DIV/0!</v>
      </c>
      <c r="J22" s="126">
        <f t="shared" si="6"/>
        <v>1.4999999999999998</v>
      </c>
      <c r="K22" s="126">
        <f t="shared" si="6"/>
        <v>0</v>
      </c>
    </row>
    <row r="23" spans="1:11" ht="27.75" customHeight="1">
      <c r="E23" s="98"/>
      <c r="F23" s="99"/>
      <c r="G23" s="101"/>
      <c r="H23" s="125">
        <f t="shared" ca="1" si="7"/>
        <v>0.18571428571428572</v>
      </c>
      <c r="I23" s="98" t="e">
        <f t="shared" ca="1" si="7"/>
        <v>#DIV/0!</v>
      </c>
      <c r="J23" s="126">
        <f t="shared" si="6"/>
        <v>1.4999999999999998</v>
      </c>
      <c r="K23" s="126">
        <f t="shared" si="6"/>
        <v>0</v>
      </c>
    </row>
    <row r="24" spans="1:11" ht="27.75" customHeight="1">
      <c r="E24" s="98"/>
      <c r="F24" s="99"/>
      <c r="G24" s="101"/>
      <c r="H24" s="125">
        <f t="shared" ca="1" si="7"/>
        <v>0.7142857142857143</v>
      </c>
      <c r="I24" s="98" t="e">
        <f t="shared" ca="1" si="7"/>
        <v>#DIV/0!</v>
      </c>
      <c r="J24" s="126">
        <f t="shared" si="6"/>
        <v>1.4999999999999998</v>
      </c>
      <c r="K24" s="126">
        <f>K23</f>
        <v>0</v>
      </c>
    </row>
    <row r="25" spans="1:11" ht="27.75" customHeight="1">
      <c r="E25" s="98"/>
      <c r="F25" s="99"/>
      <c r="G25" s="101"/>
      <c r="H25" s="125"/>
      <c r="I25" s="98"/>
      <c r="J25" s="126"/>
      <c r="K25" s="126"/>
    </row>
    <row r="26" spans="1:11" ht="27.75" customHeight="1" thickBot="1">
      <c r="E26" s="98"/>
      <c r="F26" s="99"/>
      <c r="G26" s="101"/>
      <c r="H26" s="125"/>
      <c r="I26" s="98"/>
      <c r="J26" s="126"/>
      <c r="K26" s="127"/>
    </row>
    <row r="27" spans="1:11" ht="27.75" customHeight="1"/>
    <row r="28" spans="1:11" ht="15" customHeight="1"/>
    <row r="29" spans="1:11" ht="15" customHeight="1"/>
    <row r="30" spans="1:11" ht="15" customHeight="1"/>
    <row r="31" spans="1:11" ht="15" customHeight="1"/>
    <row r="32" spans="1:1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8" ht="15" customHeight="1"/>
    <row r="50" ht="15" customHeight="1"/>
    <row r="51" ht="30" customHeight="1"/>
    <row r="52" ht="20.100000000000001" customHeight="1"/>
    <row r="53" ht="30" customHeight="1"/>
    <row r="54" ht="30" customHeight="1"/>
    <row r="55" ht="20.100000000000001" customHeight="1"/>
    <row r="56" ht="5.0999999999999996" customHeight="1"/>
    <row r="58" ht="9.9499999999999993" customHeight="1"/>
    <row r="60" ht="9.9499999999999993" customHeight="1"/>
    <row r="61" ht="21" customHeight="1"/>
    <row r="62" ht="21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30" customHeight="1"/>
    <row r="93" ht="20.100000000000001" customHeight="1"/>
  </sheetData>
  <mergeCells count="4">
    <mergeCell ref="E1:F1"/>
    <mergeCell ref="A2:C2"/>
    <mergeCell ref="E2:F2"/>
    <mergeCell ref="H2:K3"/>
  </mergeCells>
  <phoneticPr fontId="3" type="noConversion"/>
  <pageMargins left="0.59055118110236227" right="0.39370078740157483" top="0.78740157480314965" bottom="0.39370078740157483" header="0.31496062992125984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K93"/>
  <sheetViews>
    <sheetView view="pageBreakPreview" zoomScaleNormal="85" zoomScaleSheetLayoutView="100" workbookViewId="0">
      <selection activeCell="M20" sqref="M20"/>
    </sheetView>
  </sheetViews>
  <sheetFormatPr defaultColWidth="9" defaultRowHeight="24.95" customHeight="1"/>
  <cols>
    <col min="1" max="16384" width="9" style="35"/>
  </cols>
  <sheetData>
    <row r="1" spans="1:11" ht="27.75" customHeight="1">
      <c r="E1" s="259" t="s">
        <v>67</v>
      </c>
      <c r="F1" s="259"/>
    </row>
    <row r="2" spans="1:11" ht="27.75" customHeight="1">
      <c r="A2" s="260" t="s">
        <v>7</v>
      </c>
      <c r="B2" s="261"/>
      <c r="C2" s="262"/>
      <c r="D2" s="102"/>
      <c r="E2" s="263" t="s">
        <v>61</v>
      </c>
      <c r="F2" s="264"/>
      <c r="G2" s="100"/>
      <c r="H2" s="265"/>
      <c r="I2" s="266"/>
      <c r="J2" s="266"/>
      <c r="K2" s="266"/>
    </row>
    <row r="3" spans="1:11" ht="27.75" customHeight="1" thickBot="1">
      <c r="A3" s="95" t="s">
        <v>41</v>
      </c>
      <c r="B3" s="96" t="s">
        <v>65</v>
      </c>
      <c r="C3" s="97" t="s">
        <v>66</v>
      </c>
      <c r="D3" s="7" t="s">
        <v>8</v>
      </c>
      <c r="E3" s="128" t="s">
        <v>62</v>
      </c>
      <c r="F3" s="129" t="s">
        <v>63</v>
      </c>
      <c r="G3" s="10" t="s">
        <v>9</v>
      </c>
      <c r="H3" s="267"/>
      <c r="I3" s="268"/>
      <c r="J3" s="268"/>
      <c r="K3" s="268"/>
    </row>
    <row r="4" spans="1:11" ht="27.75" customHeight="1" thickTop="1">
      <c r="A4" s="11">
        <v>0</v>
      </c>
      <c r="B4" s="12">
        <v>0</v>
      </c>
      <c r="C4" s="13">
        <v>0</v>
      </c>
      <c r="D4" s="14">
        <v>0</v>
      </c>
      <c r="E4" s="130">
        <v>0</v>
      </c>
      <c r="F4" s="131">
        <v>0</v>
      </c>
      <c r="G4" s="16">
        <f>(E4+F4)/2</f>
        <v>0</v>
      </c>
      <c r="H4" s="117"/>
      <c r="I4" s="118" t="s">
        <v>64</v>
      </c>
      <c r="J4" s="119">
        <v>1.2</v>
      </c>
      <c r="K4" s="119">
        <v>1.2</v>
      </c>
    </row>
    <row r="5" spans="1:11" ht="27.75" customHeight="1">
      <c r="A5" s="18">
        <v>1</v>
      </c>
      <c r="B5" s="19">
        <v>450</v>
      </c>
      <c r="C5" s="20">
        <v>35</v>
      </c>
      <c r="D5" s="21">
        <f ca="1">G5-G$4</f>
        <v>0.04</v>
      </c>
      <c r="E5" s="132">
        <f t="shared" ref="E5:E16" ca="1" si="0">ROUNDUP(E4+H5,3)</f>
        <v>0.02</v>
      </c>
      <c r="F5" s="132">
        <f t="shared" ref="F5:F16" ca="1" si="1">ROUNDUP(F4+I5,3)</f>
        <v>0.06</v>
      </c>
      <c r="G5" s="23">
        <f ca="1">IFERROR((E5+F5)/2," ")</f>
        <v>0.04</v>
      </c>
      <c r="H5" s="120">
        <f ca="1">ROUNDUP(RAND()/J5/3,2)</f>
        <v>0.02</v>
      </c>
      <c r="I5" s="121">
        <f ca="1">ROUNDUP(RAND()/K5/3,2)</f>
        <v>6.0000000000000005E-2</v>
      </c>
      <c r="J5" s="122">
        <f t="shared" ref="J5:K7" si="2">J4</f>
        <v>1.2</v>
      </c>
      <c r="K5" s="122">
        <f t="shared" si="2"/>
        <v>1.2</v>
      </c>
    </row>
    <row r="6" spans="1:11" ht="27.75" customHeight="1">
      <c r="A6" s="18">
        <v>2</v>
      </c>
      <c r="B6" s="19">
        <v>900</v>
      </c>
      <c r="C6" s="20">
        <v>70</v>
      </c>
      <c r="D6" s="21">
        <f t="shared" ref="D6:D16" ca="1" si="3">G6-G$4</f>
        <v>0.17499999999999999</v>
      </c>
      <c r="E6" s="132">
        <f t="shared" ca="1" si="0"/>
        <v>0.04</v>
      </c>
      <c r="F6" s="132">
        <f t="shared" ca="1" si="1"/>
        <v>0.31</v>
      </c>
      <c r="G6" s="23">
        <f t="shared" ref="G6:G16" ca="1" si="4">IFERROR((E6+F6)/2," ")</f>
        <v>0.17499999999999999</v>
      </c>
      <c r="H6" s="120">
        <f t="shared" ref="H6:H18" ca="1" si="5">ROUNDUP(RAND()/J6/3,2)</f>
        <v>0.02</v>
      </c>
      <c r="I6" s="121">
        <f t="shared" ref="I6:I18" ca="1" si="6">ROUNDUP(RAND()/K6/3,2)</f>
        <v>0.25</v>
      </c>
      <c r="J6" s="123">
        <f t="shared" si="2"/>
        <v>1.2</v>
      </c>
      <c r="K6" s="123">
        <f t="shared" si="2"/>
        <v>1.2</v>
      </c>
    </row>
    <row r="7" spans="1:11" ht="27.75" customHeight="1">
      <c r="A7" s="18">
        <v>3</v>
      </c>
      <c r="B7" s="19">
        <v>1350</v>
      </c>
      <c r="C7" s="20">
        <v>105</v>
      </c>
      <c r="D7" s="21">
        <f t="shared" ca="1" si="3"/>
        <v>0.28999999999999998</v>
      </c>
      <c r="E7" s="132">
        <f t="shared" ca="1" si="0"/>
        <v>0.22</v>
      </c>
      <c r="F7" s="132">
        <f t="shared" ca="1" si="1"/>
        <v>0.36</v>
      </c>
      <c r="G7" s="23">
        <f t="shared" ca="1" si="4"/>
        <v>0.28999999999999998</v>
      </c>
      <c r="H7" s="120">
        <f t="shared" ca="1" si="5"/>
        <v>0.18000000000000002</v>
      </c>
      <c r="I7" s="121">
        <f t="shared" ca="1" si="6"/>
        <v>0.05</v>
      </c>
      <c r="J7" s="123">
        <f t="shared" si="2"/>
        <v>1.2</v>
      </c>
      <c r="K7" s="123">
        <f t="shared" si="2"/>
        <v>1.2</v>
      </c>
    </row>
    <row r="8" spans="1:11" ht="27.75" customHeight="1">
      <c r="A8" s="18">
        <v>4</v>
      </c>
      <c r="B8" s="19">
        <v>1800</v>
      </c>
      <c r="C8" s="20">
        <v>140</v>
      </c>
      <c r="D8" s="21">
        <f t="shared" ca="1" si="3"/>
        <v>0.47</v>
      </c>
      <c r="E8" s="132">
        <f t="shared" ca="1" si="0"/>
        <v>0.33</v>
      </c>
      <c r="F8" s="132">
        <f t="shared" ca="1" si="1"/>
        <v>0.61</v>
      </c>
      <c r="G8" s="23">
        <f t="shared" ca="1" si="4"/>
        <v>0.47</v>
      </c>
      <c r="H8" s="120">
        <f t="shared" ca="1" si="5"/>
        <v>0.11</v>
      </c>
      <c r="I8" s="121">
        <f t="shared" ca="1" si="6"/>
        <v>0.25</v>
      </c>
      <c r="J8" s="124">
        <f t="shared" ref="J8:K23" si="7">J7</f>
        <v>1.2</v>
      </c>
      <c r="K8" s="124">
        <f t="shared" si="7"/>
        <v>1.2</v>
      </c>
    </row>
    <row r="9" spans="1:11" ht="27.75" customHeight="1">
      <c r="A9" s="18">
        <v>5</v>
      </c>
      <c r="B9" s="19">
        <v>2250</v>
      </c>
      <c r="C9" s="20">
        <v>175</v>
      </c>
      <c r="D9" s="21">
        <f t="shared" ca="1" si="3"/>
        <v>0.54499999999999993</v>
      </c>
      <c r="E9" s="132">
        <f t="shared" ca="1" si="0"/>
        <v>0.47</v>
      </c>
      <c r="F9" s="132">
        <f t="shared" ca="1" si="1"/>
        <v>0.62</v>
      </c>
      <c r="G9" s="23">
        <f t="shared" ca="1" si="4"/>
        <v>0.54499999999999993</v>
      </c>
      <c r="H9" s="120">
        <f t="shared" ca="1" si="5"/>
        <v>0.14000000000000001</v>
      </c>
      <c r="I9" s="121">
        <f t="shared" ca="1" si="6"/>
        <v>0.01</v>
      </c>
      <c r="J9" s="124">
        <f t="shared" si="7"/>
        <v>1.2</v>
      </c>
      <c r="K9" s="124">
        <f t="shared" si="7"/>
        <v>1.2</v>
      </c>
    </row>
    <row r="10" spans="1:11" ht="27.75" customHeight="1">
      <c r="A10" s="18">
        <v>6</v>
      </c>
      <c r="B10" s="19">
        <v>2700</v>
      </c>
      <c r="C10" s="20">
        <v>210</v>
      </c>
      <c r="D10" s="21">
        <f t="shared" ca="1" si="3"/>
        <v>0.7</v>
      </c>
      <c r="E10" s="132">
        <f t="shared" ca="1" si="0"/>
        <v>0.66</v>
      </c>
      <c r="F10" s="132">
        <f t="shared" ca="1" si="1"/>
        <v>0.74</v>
      </c>
      <c r="G10" s="23">
        <f t="shared" ca="1" si="4"/>
        <v>0.7</v>
      </c>
      <c r="H10" s="120">
        <f t="shared" ca="1" si="5"/>
        <v>0.19</v>
      </c>
      <c r="I10" s="121">
        <f t="shared" ca="1" si="6"/>
        <v>0.12</v>
      </c>
      <c r="J10" s="124">
        <f t="shared" si="7"/>
        <v>1.2</v>
      </c>
      <c r="K10" s="124">
        <f t="shared" si="7"/>
        <v>1.2</v>
      </c>
    </row>
    <row r="11" spans="1:11" ht="27.75" customHeight="1">
      <c r="A11" s="18">
        <v>7</v>
      </c>
      <c r="B11" s="19">
        <v>3140</v>
      </c>
      <c r="C11" s="20">
        <v>245</v>
      </c>
      <c r="D11" s="21">
        <f t="shared" ca="1" si="3"/>
        <v>0.9</v>
      </c>
      <c r="E11" s="132">
        <f t="shared" ca="1" si="0"/>
        <v>0.9</v>
      </c>
      <c r="F11" s="132">
        <f t="shared" ca="1" si="1"/>
        <v>0.9</v>
      </c>
      <c r="G11" s="23">
        <f t="shared" ca="1" si="4"/>
        <v>0.9</v>
      </c>
      <c r="H11" s="120">
        <f t="shared" ca="1" si="5"/>
        <v>0.24000000000000002</v>
      </c>
      <c r="I11" s="121">
        <f t="shared" ca="1" si="6"/>
        <v>0.16</v>
      </c>
      <c r="J11" s="124">
        <f t="shared" si="7"/>
        <v>1.2</v>
      </c>
      <c r="K11" s="124">
        <f t="shared" si="7"/>
        <v>1.2</v>
      </c>
    </row>
    <row r="12" spans="1:11" ht="27.75" customHeight="1">
      <c r="A12" s="18">
        <v>8</v>
      </c>
      <c r="B12" s="19">
        <v>3590</v>
      </c>
      <c r="C12" s="20">
        <v>280</v>
      </c>
      <c r="D12" s="21">
        <f t="shared" ca="1" si="3"/>
        <v>1.01</v>
      </c>
      <c r="E12" s="132">
        <f t="shared" ca="1" si="0"/>
        <v>1.02</v>
      </c>
      <c r="F12" s="132">
        <f t="shared" ca="1" si="1"/>
        <v>1</v>
      </c>
      <c r="G12" s="23">
        <f t="shared" ca="1" si="4"/>
        <v>1.01</v>
      </c>
      <c r="H12" s="120">
        <f t="shared" ca="1" si="5"/>
        <v>0.12</v>
      </c>
      <c r="I12" s="121">
        <f t="shared" ca="1" si="6"/>
        <v>9.9999999999999992E-2</v>
      </c>
      <c r="J12" s="124">
        <f t="shared" si="7"/>
        <v>1.2</v>
      </c>
      <c r="K12" s="124">
        <f t="shared" si="7"/>
        <v>1.2</v>
      </c>
    </row>
    <row r="13" spans="1:11" ht="27.75" customHeight="1">
      <c r="A13" s="18">
        <v>9</v>
      </c>
      <c r="B13" s="19">
        <v>4040</v>
      </c>
      <c r="C13" s="20">
        <v>315</v>
      </c>
      <c r="D13" s="21">
        <f t="shared" ca="1" si="3"/>
        <v>1.0350000000000001</v>
      </c>
      <c r="E13" s="132">
        <f t="shared" ca="1" si="0"/>
        <v>1.06</v>
      </c>
      <c r="F13" s="132">
        <f t="shared" ca="1" si="1"/>
        <v>1.01</v>
      </c>
      <c r="G13" s="23">
        <f t="shared" ca="1" si="4"/>
        <v>1.0350000000000001</v>
      </c>
      <c r="H13" s="120">
        <f t="shared" ca="1" si="5"/>
        <v>0.04</v>
      </c>
      <c r="I13" s="121">
        <f t="shared" ca="1" si="6"/>
        <v>0.01</v>
      </c>
      <c r="J13" s="124">
        <f t="shared" si="7"/>
        <v>1.2</v>
      </c>
      <c r="K13" s="124">
        <f t="shared" si="7"/>
        <v>1.2</v>
      </c>
    </row>
    <row r="14" spans="1:11" ht="27.75" customHeight="1">
      <c r="A14" s="18">
        <v>10</v>
      </c>
      <c r="B14" s="19">
        <v>4490</v>
      </c>
      <c r="C14" s="20">
        <v>350</v>
      </c>
      <c r="D14" s="21">
        <f t="shared" ca="1" si="3"/>
        <v>1.105</v>
      </c>
      <c r="E14" s="132">
        <f t="shared" ca="1" si="0"/>
        <v>1.1399999999999999</v>
      </c>
      <c r="F14" s="132">
        <f t="shared" ca="1" si="1"/>
        <v>1.07</v>
      </c>
      <c r="G14" s="23">
        <f t="shared" ca="1" si="4"/>
        <v>1.105</v>
      </c>
      <c r="H14" s="120">
        <f t="shared" ca="1" si="5"/>
        <v>0.08</v>
      </c>
      <c r="I14" s="121">
        <f t="shared" ca="1" si="6"/>
        <v>6.0000000000000005E-2</v>
      </c>
      <c r="J14" s="124">
        <f>J13</f>
        <v>1.2</v>
      </c>
      <c r="K14" s="124">
        <f t="shared" si="7"/>
        <v>1.2</v>
      </c>
    </row>
    <row r="15" spans="1:11" ht="27.75" customHeight="1">
      <c r="A15" s="18">
        <v>11</v>
      </c>
      <c r="B15" s="19">
        <v>4940</v>
      </c>
      <c r="C15" s="20">
        <v>385</v>
      </c>
      <c r="D15" s="21">
        <f t="shared" ca="1" si="3"/>
        <v>1.2450000000000001</v>
      </c>
      <c r="E15" s="132">
        <f t="shared" ca="1" si="0"/>
        <v>1.19</v>
      </c>
      <c r="F15" s="132">
        <f t="shared" ca="1" si="1"/>
        <v>1.3</v>
      </c>
      <c r="G15" s="23">
        <f t="shared" ca="1" si="4"/>
        <v>1.2450000000000001</v>
      </c>
      <c r="H15" s="120">
        <f t="shared" ca="1" si="5"/>
        <v>0.05</v>
      </c>
      <c r="I15" s="121">
        <f t="shared" ca="1" si="6"/>
        <v>0.23</v>
      </c>
      <c r="J15" s="124">
        <f t="shared" si="7"/>
        <v>1.2</v>
      </c>
      <c r="K15" s="124">
        <f t="shared" si="7"/>
        <v>1.2</v>
      </c>
    </row>
    <row r="16" spans="1:11" ht="27.75" customHeight="1">
      <c r="A16" s="18">
        <v>12</v>
      </c>
      <c r="B16" s="19">
        <v>5390</v>
      </c>
      <c r="C16" s="20">
        <v>420</v>
      </c>
      <c r="D16" s="21">
        <f t="shared" ca="1" si="3"/>
        <v>1.345</v>
      </c>
      <c r="E16" s="132">
        <f t="shared" ca="1" si="0"/>
        <v>1.24</v>
      </c>
      <c r="F16" s="132">
        <f t="shared" ca="1" si="1"/>
        <v>1.45</v>
      </c>
      <c r="G16" s="23">
        <f t="shared" ca="1" si="4"/>
        <v>1.345</v>
      </c>
      <c r="H16" s="120">
        <f t="shared" ca="1" si="5"/>
        <v>0.05</v>
      </c>
      <c r="I16" s="121">
        <f t="shared" ca="1" si="6"/>
        <v>0.15000000000000002</v>
      </c>
      <c r="J16" s="124">
        <f t="shared" si="7"/>
        <v>1.2</v>
      </c>
      <c r="K16" s="124">
        <f t="shared" si="7"/>
        <v>1.2</v>
      </c>
    </row>
    <row r="17" spans="1:11" ht="27.75" customHeight="1">
      <c r="A17" s="18">
        <v>13</v>
      </c>
      <c r="B17" s="19"/>
      <c r="C17" s="20">
        <v>455</v>
      </c>
      <c r="D17" s="21">
        <f t="shared" ref="D17:D20" ca="1" si="8">G17-G$4</f>
        <v>1.4950000000000001</v>
      </c>
      <c r="E17" s="132">
        <f t="shared" ref="E17:E20" ca="1" si="9">ROUNDUP(E16+H17,3)</f>
        <v>1.38</v>
      </c>
      <c r="F17" s="132">
        <f t="shared" ref="F17:F20" ca="1" si="10">ROUNDUP(F16+I17,3)</f>
        <v>1.61</v>
      </c>
      <c r="G17" s="23">
        <f t="shared" ref="G17:G20" ca="1" si="11">IFERROR((E17+F17)/2," ")</f>
        <v>1.4950000000000001</v>
      </c>
      <c r="H17" s="120">
        <f t="shared" ca="1" si="5"/>
        <v>0.14000000000000001</v>
      </c>
      <c r="I17" s="121">
        <f t="shared" ca="1" si="6"/>
        <v>0.16</v>
      </c>
      <c r="J17" s="124">
        <f t="shared" si="7"/>
        <v>1.2</v>
      </c>
      <c r="K17" s="124">
        <f t="shared" si="7"/>
        <v>1.2</v>
      </c>
    </row>
    <row r="18" spans="1:11" ht="27.75" customHeight="1">
      <c r="A18" s="18">
        <v>14</v>
      </c>
      <c r="B18" s="19"/>
      <c r="C18" s="20">
        <v>490</v>
      </c>
      <c r="D18" s="21">
        <f t="shared" ca="1" si="8"/>
        <v>1.6600000000000001</v>
      </c>
      <c r="E18" s="132">
        <f t="shared" ca="1" si="9"/>
        <v>1.46</v>
      </c>
      <c r="F18" s="132">
        <f t="shared" ca="1" si="10"/>
        <v>1.86</v>
      </c>
      <c r="G18" s="23">
        <f t="shared" ca="1" si="11"/>
        <v>1.6600000000000001</v>
      </c>
      <c r="H18" s="120">
        <f t="shared" ca="1" si="5"/>
        <v>0.08</v>
      </c>
      <c r="I18" s="121">
        <f t="shared" ca="1" si="6"/>
        <v>0.25</v>
      </c>
      <c r="J18" s="124">
        <f t="shared" si="7"/>
        <v>1.2</v>
      </c>
      <c r="K18" s="124">
        <f t="shared" si="7"/>
        <v>1.2</v>
      </c>
    </row>
    <row r="19" spans="1:11" ht="27.75" customHeight="1">
      <c r="A19" s="18">
        <v>15</v>
      </c>
      <c r="C19" s="20">
        <v>525</v>
      </c>
      <c r="D19" s="21">
        <f t="shared" ca="1" si="8"/>
        <v>2.181</v>
      </c>
      <c r="E19" s="132">
        <f t="shared" ca="1" si="9"/>
        <v>1.9019999999999999</v>
      </c>
      <c r="F19" s="132">
        <f t="shared" ca="1" si="10"/>
        <v>2.46</v>
      </c>
      <c r="G19" s="23">
        <f t="shared" ca="1" si="11"/>
        <v>2.181</v>
      </c>
      <c r="H19" s="125">
        <f t="shared" ref="H19:I24" ca="1" si="12">ROUNDUP(RAND()/J19,2)/J$4</f>
        <v>0.44166666666666671</v>
      </c>
      <c r="I19" s="98">
        <f t="shared" ca="1" si="12"/>
        <v>0.6</v>
      </c>
      <c r="J19" s="126">
        <f t="shared" si="7"/>
        <v>1.2</v>
      </c>
      <c r="K19" s="126">
        <f t="shared" si="7"/>
        <v>1.2</v>
      </c>
    </row>
    <row r="20" spans="1:11" ht="27.75" customHeight="1">
      <c r="A20" s="18">
        <v>16</v>
      </c>
      <c r="C20" s="20">
        <v>560</v>
      </c>
      <c r="D20" s="21">
        <f t="shared" ca="1" si="8"/>
        <v>2.444</v>
      </c>
      <c r="E20" s="132">
        <f t="shared" ca="1" si="9"/>
        <v>1.9359999999999999</v>
      </c>
      <c r="F20" s="132">
        <f t="shared" ca="1" si="10"/>
        <v>2.952</v>
      </c>
      <c r="G20" s="23">
        <f t="shared" ca="1" si="11"/>
        <v>2.444</v>
      </c>
      <c r="H20" s="125">
        <f t="shared" ca="1" si="12"/>
        <v>3.3333333333333333E-2</v>
      </c>
      <c r="I20" s="98">
        <f t="shared" ca="1" si="12"/>
        <v>0.49166666666666664</v>
      </c>
      <c r="J20" s="126">
        <f t="shared" si="7"/>
        <v>1.2</v>
      </c>
      <c r="K20" s="126">
        <f t="shared" si="7"/>
        <v>1.2</v>
      </c>
    </row>
    <row r="21" spans="1:11" ht="27.75" customHeight="1">
      <c r="C21" s="20"/>
      <c r="D21" s="21"/>
      <c r="E21" s="132"/>
      <c r="F21" s="132"/>
      <c r="G21" s="23"/>
      <c r="H21" s="125">
        <f t="shared" ca="1" si="12"/>
        <v>0.53333333333333333</v>
      </c>
      <c r="I21" s="98">
        <f t="shared" ca="1" si="12"/>
        <v>0.4</v>
      </c>
      <c r="J21" s="126">
        <f t="shared" si="7"/>
        <v>1.2</v>
      </c>
      <c r="K21" s="126">
        <f t="shared" si="7"/>
        <v>1.2</v>
      </c>
    </row>
    <row r="22" spans="1:11" ht="27.75" customHeight="1">
      <c r="E22" s="98"/>
      <c r="F22" s="99"/>
      <c r="G22" s="101"/>
      <c r="H22" s="125">
        <f t="shared" ca="1" si="12"/>
        <v>3.3333333333333333E-2</v>
      </c>
      <c r="I22" s="98">
        <f t="shared" ca="1" si="12"/>
        <v>0.55833333333333335</v>
      </c>
      <c r="J22" s="126">
        <f t="shared" si="7"/>
        <v>1.2</v>
      </c>
      <c r="K22" s="126">
        <f t="shared" si="7"/>
        <v>1.2</v>
      </c>
    </row>
    <row r="23" spans="1:11" ht="27.75" customHeight="1" thickBot="1">
      <c r="E23" s="98"/>
      <c r="F23" s="99"/>
      <c r="G23" s="101"/>
      <c r="H23" s="125">
        <f t="shared" ca="1" si="12"/>
        <v>8.3333333333333329E-2</v>
      </c>
      <c r="I23" s="98">
        <f t="shared" ca="1" si="12"/>
        <v>0.53333333333333333</v>
      </c>
      <c r="J23" s="126">
        <f t="shared" si="7"/>
        <v>1.2</v>
      </c>
      <c r="K23" s="127">
        <f t="shared" si="7"/>
        <v>1.2</v>
      </c>
    </row>
    <row r="24" spans="1:11" ht="27.75" customHeight="1" thickBot="1">
      <c r="E24" s="98"/>
      <c r="F24" s="99"/>
      <c r="G24" s="101"/>
      <c r="H24" s="125">
        <f t="shared" ca="1" si="12"/>
        <v>0.11666666666666668</v>
      </c>
      <c r="I24" s="98">
        <f t="shared" ca="1" si="12"/>
        <v>1.6666666666666666E-2</v>
      </c>
      <c r="J24" s="126">
        <f t="shared" ref="J24" si="13">J23</f>
        <v>1.2</v>
      </c>
      <c r="K24" s="127">
        <f>K23</f>
        <v>1.2</v>
      </c>
    </row>
    <row r="25" spans="1:11" ht="27.75" customHeight="1" thickBot="1">
      <c r="E25" s="98"/>
      <c r="F25" s="99"/>
      <c r="G25" s="101"/>
      <c r="H25" s="125"/>
      <c r="I25" s="98"/>
      <c r="J25" s="126"/>
      <c r="K25" s="127"/>
    </row>
    <row r="26" spans="1:11" ht="27.75" customHeight="1" thickBot="1">
      <c r="E26" s="98"/>
      <c r="F26" s="99"/>
      <c r="G26" s="101"/>
      <c r="H26" s="125"/>
      <c r="I26" s="98"/>
      <c r="J26" s="126"/>
      <c r="K26" s="127"/>
    </row>
    <row r="27" spans="1:11" ht="27.75" customHeight="1"/>
    <row r="28" spans="1:11" ht="15" customHeight="1"/>
    <row r="29" spans="1:11" ht="15" customHeight="1"/>
    <row r="30" spans="1:11" ht="15" customHeight="1"/>
    <row r="31" spans="1:11" ht="15" customHeight="1"/>
    <row r="32" spans="1:1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8" ht="15" customHeight="1"/>
    <row r="50" ht="15" customHeight="1"/>
    <row r="51" ht="30" customHeight="1"/>
    <row r="52" ht="20.100000000000001" customHeight="1"/>
    <row r="53" ht="30" customHeight="1"/>
    <row r="54" ht="30" customHeight="1"/>
    <row r="55" ht="20.100000000000001" customHeight="1"/>
    <row r="56" ht="5.0999999999999996" customHeight="1"/>
    <row r="58" ht="9.9499999999999993" customHeight="1"/>
    <row r="60" ht="9.9499999999999993" customHeight="1"/>
    <row r="61" ht="21" customHeight="1"/>
    <row r="62" ht="21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30" customHeight="1"/>
    <row r="93" ht="20.100000000000001" customHeight="1"/>
  </sheetData>
  <mergeCells count="4">
    <mergeCell ref="H2:K3"/>
    <mergeCell ref="E2:F2"/>
    <mergeCell ref="A2:C2"/>
    <mergeCell ref="E1:F1"/>
  </mergeCells>
  <phoneticPr fontId="3" type="noConversion"/>
  <pageMargins left="0.59055118110236227" right="0.39370078740157483" top="0.78740157480314965" bottom="0.39370078740157483" header="0.31496062992125984" footer="0.19685039370078741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AW65"/>
  <sheetViews>
    <sheetView view="pageBreakPreview" topLeftCell="A34" zoomScale="115" zoomScaleNormal="115" zoomScaleSheetLayoutView="115" workbookViewId="0">
      <selection activeCell="C50" sqref="C50"/>
    </sheetView>
  </sheetViews>
  <sheetFormatPr defaultRowHeight="13.5"/>
  <cols>
    <col min="1" max="1" width="8.375" style="39" customWidth="1"/>
    <col min="2" max="2" width="9.5" style="79" customWidth="1"/>
    <col min="3" max="3" width="30.25" style="3" customWidth="1"/>
    <col min="4" max="4" width="9.875" style="3" customWidth="1"/>
    <col min="5" max="5" width="10.25" style="3" customWidth="1"/>
    <col min="6" max="6" width="13.625" style="3" customWidth="1"/>
    <col min="7" max="9" width="9" style="3"/>
    <col min="10" max="49" width="6.375" style="94" customWidth="1"/>
    <col min="50" max="16384" width="9" style="3"/>
  </cols>
  <sheetData>
    <row r="1" spans="1:49" ht="45.75" customHeight="1" thickBot="1">
      <c r="A1" s="269" t="s">
        <v>54</v>
      </c>
      <c r="B1" s="270"/>
      <c r="C1" s="270"/>
      <c r="D1" s="270"/>
      <c r="E1" s="270"/>
      <c r="F1" s="270"/>
      <c r="H1" s="275" t="s">
        <v>68</v>
      </c>
      <c r="I1" s="276"/>
    </row>
    <row r="2" spans="1:49" ht="18.75" customHeight="1">
      <c r="A2" s="271" t="s">
        <v>55</v>
      </c>
      <c r="B2" s="272"/>
      <c r="C2" s="272"/>
      <c r="D2" s="272"/>
      <c r="E2" s="272"/>
      <c r="F2" s="273"/>
      <c r="H2" s="274" t="s">
        <v>60</v>
      </c>
      <c r="I2" s="193"/>
      <c r="J2" s="279">
        <v>1</v>
      </c>
      <c r="K2" s="280"/>
      <c r="L2" s="277">
        <v>2</v>
      </c>
      <c r="M2" s="278"/>
      <c r="N2" s="279">
        <v>3</v>
      </c>
      <c r="O2" s="280"/>
      <c r="P2" s="277">
        <v>4</v>
      </c>
      <c r="Q2" s="278"/>
      <c r="R2" s="279">
        <v>5</v>
      </c>
      <c r="S2" s="280"/>
      <c r="T2" s="277">
        <v>6</v>
      </c>
      <c r="U2" s="278"/>
      <c r="V2" s="279">
        <v>7</v>
      </c>
      <c r="W2" s="280"/>
      <c r="X2" s="277">
        <v>8</v>
      </c>
      <c r="Y2" s="278"/>
      <c r="Z2" s="279">
        <v>9</v>
      </c>
      <c r="AA2" s="280"/>
      <c r="AB2" s="277">
        <v>10</v>
      </c>
      <c r="AC2" s="278"/>
      <c r="AD2" s="279">
        <v>11</v>
      </c>
      <c r="AE2" s="280"/>
      <c r="AF2" s="277">
        <v>12</v>
      </c>
      <c r="AG2" s="278"/>
      <c r="AH2" s="279">
        <v>13</v>
      </c>
      <c r="AI2" s="280"/>
      <c r="AJ2" s="277">
        <v>14</v>
      </c>
      <c r="AK2" s="278"/>
      <c r="AL2" s="279">
        <v>15</v>
      </c>
      <c r="AM2" s="280"/>
      <c r="AN2" s="277">
        <v>16</v>
      </c>
      <c r="AO2" s="278"/>
      <c r="AP2" s="279">
        <v>17</v>
      </c>
      <c r="AQ2" s="280"/>
      <c r="AR2" s="277">
        <v>18</v>
      </c>
      <c r="AS2" s="278"/>
      <c r="AT2" s="279">
        <v>19</v>
      </c>
      <c r="AU2" s="280"/>
      <c r="AV2" s="277">
        <v>20</v>
      </c>
      <c r="AW2" s="280"/>
    </row>
    <row r="3" spans="1:49" ht="15.75" customHeight="1">
      <c r="A3" s="88" t="s">
        <v>52</v>
      </c>
      <c r="B3" s="89" t="s">
        <v>53</v>
      </c>
      <c r="C3" s="90" t="s">
        <v>43</v>
      </c>
      <c r="D3" s="90" t="s">
        <v>37</v>
      </c>
      <c r="E3" s="90" t="s">
        <v>44</v>
      </c>
      <c r="F3" s="91" t="s">
        <v>56</v>
      </c>
      <c r="H3" s="92" t="s">
        <v>40</v>
      </c>
      <c r="I3" s="103" t="s">
        <v>57</v>
      </c>
      <c r="J3" s="107" t="s">
        <v>58</v>
      </c>
      <c r="K3" s="108" t="s">
        <v>59</v>
      </c>
      <c r="L3" s="105" t="s">
        <v>58</v>
      </c>
      <c r="M3" s="113" t="s">
        <v>59</v>
      </c>
      <c r="N3" s="107" t="s">
        <v>58</v>
      </c>
      <c r="O3" s="108" t="s">
        <v>59</v>
      </c>
      <c r="P3" s="105" t="s">
        <v>58</v>
      </c>
      <c r="Q3" s="113" t="s">
        <v>59</v>
      </c>
      <c r="R3" s="107" t="s">
        <v>58</v>
      </c>
      <c r="S3" s="108" t="s">
        <v>59</v>
      </c>
      <c r="T3" s="105" t="s">
        <v>58</v>
      </c>
      <c r="U3" s="113" t="s">
        <v>59</v>
      </c>
      <c r="V3" s="107" t="s">
        <v>58</v>
      </c>
      <c r="W3" s="108" t="s">
        <v>59</v>
      </c>
      <c r="X3" s="105" t="s">
        <v>58</v>
      </c>
      <c r="Y3" s="113" t="s">
        <v>59</v>
      </c>
      <c r="Z3" s="107" t="s">
        <v>58</v>
      </c>
      <c r="AA3" s="108" t="s">
        <v>59</v>
      </c>
      <c r="AB3" s="105" t="s">
        <v>58</v>
      </c>
      <c r="AC3" s="113" t="s">
        <v>59</v>
      </c>
      <c r="AD3" s="107" t="s">
        <v>58</v>
      </c>
      <c r="AE3" s="108" t="s">
        <v>59</v>
      </c>
      <c r="AF3" s="105" t="s">
        <v>58</v>
      </c>
      <c r="AG3" s="113" t="s">
        <v>59</v>
      </c>
      <c r="AH3" s="107" t="s">
        <v>58</v>
      </c>
      <c r="AI3" s="108" t="s">
        <v>59</v>
      </c>
      <c r="AJ3" s="105" t="s">
        <v>58</v>
      </c>
      <c r="AK3" s="113" t="s">
        <v>59</v>
      </c>
      <c r="AL3" s="107" t="s">
        <v>58</v>
      </c>
      <c r="AM3" s="108" t="s">
        <v>59</v>
      </c>
      <c r="AN3" s="105" t="s">
        <v>58</v>
      </c>
      <c r="AO3" s="113" t="s">
        <v>59</v>
      </c>
      <c r="AP3" s="107" t="s">
        <v>58</v>
      </c>
      <c r="AQ3" s="108" t="s">
        <v>59</v>
      </c>
      <c r="AR3" s="105" t="s">
        <v>58</v>
      </c>
      <c r="AS3" s="113" t="s">
        <v>59</v>
      </c>
      <c r="AT3" s="107" t="s">
        <v>58</v>
      </c>
      <c r="AU3" s="108" t="s">
        <v>59</v>
      </c>
      <c r="AV3" s="105" t="s">
        <v>58</v>
      </c>
      <c r="AW3" s="108" t="s">
        <v>59</v>
      </c>
    </row>
    <row r="4" spans="1:49" ht="18" customHeight="1">
      <c r="A4" s="85">
        <v>1</v>
      </c>
      <c r="B4" s="134">
        <v>46160</v>
      </c>
      <c r="C4" s="157" t="s">
        <v>91</v>
      </c>
      <c r="D4" s="78">
        <f>'1'!K14</f>
        <v>197.2</v>
      </c>
      <c r="E4" s="83">
        <v>147</v>
      </c>
      <c r="F4" s="81" t="str">
        <f>IF(D4&gt;E4,"합격","불합격")</f>
        <v>합격</v>
      </c>
      <c r="H4" s="93">
        <v>0</v>
      </c>
      <c r="I4" s="104">
        <v>0</v>
      </c>
      <c r="J4" s="109">
        <v>0</v>
      </c>
      <c r="K4" s="110">
        <v>0</v>
      </c>
      <c r="L4" s="106">
        <v>0</v>
      </c>
      <c r="M4" s="114">
        <v>0</v>
      </c>
      <c r="N4" s="109">
        <v>0</v>
      </c>
      <c r="O4" s="110">
        <v>0</v>
      </c>
      <c r="P4" s="106">
        <v>0</v>
      </c>
      <c r="Q4" s="114">
        <v>0</v>
      </c>
      <c r="R4" s="109">
        <v>0</v>
      </c>
      <c r="S4" s="110">
        <v>0</v>
      </c>
      <c r="T4" s="106">
        <v>0</v>
      </c>
      <c r="U4" s="114">
        <v>0</v>
      </c>
      <c r="V4" s="109">
        <v>0</v>
      </c>
      <c r="W4" s="110">
        <v>0</v>
      </c>
      <c r="X4" s="106">
        <v>0</v>
      </c>
      <c r="Y4" s="114">
        <v>0</v>
      </c>
      <c r="Z4" s="109">
        <v>0</v>
      </c>
      <c r="AA4" s="110">
        <v>0</v>
      </c>
      <c r="AB4" s="106">
        <v>0</v>
      </c>
      <c r="AC4" s="114">
        <v>0</v>
      </c>
      <c r="AD4" s="109">
        <v>0</v>
      </c>
      <c r="AE4" s="110">
        <v>0</v>
      </c>
      <c r="AF4" s="130">
        <v>0</v>
      </c>
      <c r="AG4" s="131">
        <v>0</v>
      </c>
      <c r="AH4" s="109">
        <v>0</v>
      </c>
      <c r="AI4" s="110">
        <v>0</v>
      </c>
      <c r="AJ4" s="106">
        <v>0</v>
      </c>
      <c r="AK4" s="114">
        <v>0</v>
      </c>
      <c r="AL4" s="109">
        <v>0</v>
      </c>
      <c r="AM4" s="110">
        <v>0</v>
      </c>
      <c r="AN4" s="106">
        <v>0</v>
      </c>
      <c r="AO4" s="114">
        <v>0</v>
      </c>
      <c r="AP4" s="109">
        <v>0</v>
      </c>
      <c r="AQ4" s="110">
        <v>0</v>
      </c>
      <c r="AR4" s="106">
        <v>0</v>
      </c>
      <c r="AS4" s="114">
        <v>0</v>
      </c>
      <c r="AT4" s="109">
        <v>0</v>
      </c>
      <c r="AU4" s="110">
        <v>0</v>
      </c>
      <c r="AV4" s="106">
        <v>0</v>
      </c>
      <c r="AW4" s="110">
        <v>0</v>
      </c>
    </row>
    <row r="5" spans="1:49" ht="18" customHeight="1">
      <c r="A5" s="85">
        <f>A4+1</f>
        <v>2</v>
      </c>
      <c r="B5" s="134">
        <v>46160</v>
      </c>
      <c r="C5" s="157" t="s">
        <v>92</v>
      </c>
      <c r="D5" s="78">
        <f>'2'!K14</f>
        <v>199.6</v>
      </c>
      <c r="E5" s="83">
        <v>147</v>
      </c>
      <c r="F5" s="81" t="str">
        <f t="shared" ref="F5:F7" si="0">IF(D5&gt;E5,"합격","불합격")</f>
        <v>합격</v>
      </c>
      <c r="H5" s="93">
        <v>1</v>
      </c>
      <c r="I5" s="104">
        <v>35</v>
      </c>
      <c r="J5" s="109">
        <v>0.22</v>
      </c>
      <c r="K5" s="110">
        <v>0.34</v>
      </c>
      <c r="L5" s="106">
        <v>0.19</v>
      </c>
      <c r="M5" s="114">
        <v>0.09</v>
      </c>
      <c r="N5" s="109">
        <v>0.22</v>
      </c>
      <c r="O5" s="110">
        <v>0.05</v>
      </c>
      <c r="P5" s="106">
        <v>0.37</v>
      </c>
      <c r="Q5" s="114">
        <v>0.23</v>
      </c>
      <c r="R5" s="109">
        <v>0.04</v>
      </c>
      <c r="S5" s="110">
        <v>0.12</v>
      </c>
      <c r="T5" s="106">
        <v>0.14000000000000001</v>
      </c>
      <c r="U5" s="114">
        <v>0.02</v>
      </c>
      <c r="V5" s="109">
        <v>0.21</v>
      </c>
      <c r="W5" s="110">
        <v>0.26</v>
      </c>
      <c r="X5" s="106">
        <v>0.27</v>
      </c>
      <c r="Y5" s="114">
        <v>0.24</v>
      </c>
      <c r="Z5" s="109">
        <v>0.26</v>
      </c>
      <c r="AA5" s="110">
        <v>0.12</v>
      </c>
      <c r="AB5" s="106">
        <v>0.01</v>
      </c>
      <c r="AC5" s="114">
        <v>0.14000000000000001</v>
      </c>
      <c r="AD5" s="109">
        <v>0.23</v>
      </c>
      <c r="AE5" s="110">
        <v>0.28999999999999998</v>
      </c>
      <c r="AF5" s="132">
        <v>0.15</v>
      </c>
      <c r="AG5" s="132">
        <v>0.17</v>
      </c>
      <c r="AH5" s="109">
        <v>0.15</v>
      </c>
      <c r="AI5" s="110">
        <v>0.04</v>
      </c>
      <c r="AJ5" s="106">
        <v>0.01</v>
      </c>
      <c r="AK5" s="114">
        <v>0.25</v>
      </c>
      <c r="AL5" s="109">
        <v>0.33</v>
      </c>
      <c r="AM5" s="110">
        <v>0.12</v>
      </c>
      <c r="AN5" s="106">
        <v>0.02</v>
      </c>
      <c r="AO5" s="114">
        <v>0.26</v>
      </c>
      <c r="AP5" s="109">
        <v>0.13</v>
      </c>
      <c r="AQ5" s="110">
        <v>7.0000000000000007E-2</v>
      </c>
      <c r="AR5" s="106">
        <v>0.35</v>
      </c>
      <c r="AS5" s="114">
        <v>0.04</v>
      </c>
      <c r="AT5" s="109">
        <v>0.35</v>
      </c>
      <c r="AU5" s="110">
        <v>0.3</v>
      </c>
      <c r="AV5" s="106">
        <v>0.37</v>
      </c>
      <c r="AW5" s="110">
        <v>0.08</v>
      </c>
    </row>
    <row r="6" spans="1:49" ht="18" customHeight="1">
      <c r="A6" s="85">
        <f t="shared" ref="A6:A23" si="1">A5+1</f>
        <v>3</v>
      </c>
      <c r="B6" s="134">
        <v>46160</v>
      </c>
      <c r="C6" s="157" t="s">
        <v>87</v>
      </c>
      <c r="D6" s="78">
        <f>'3'!K14</f>
        <v>195.2</v>
      </c>
      <c r="E6" s="83">
        <v>147</v>
      </c>
      <c r="F6" s="81" t="str">
        <f t="shared" si="0"/>
        <v>합격</v>
      </c>
      <c r="H6" s="93">
        <v>2</v>
      </c>
      <c r="I6" s="104">
        <v>70</v>
      </c>
      <c r="J6" s="109">
        <v>0.43</v>
      </c>
      <c r="K6" s="110">
        <v>0.36</v>
      </c>
      <c r="L6" s="106">
        <v>0.54</v>
      </c>
      <c r="M6" s="114">
        <v>0.46</v>
      </c>
      <c r="N6" s="109">
        <v>0.43</v>
      </c>
      <c r="O6" s="110">
        <v>0.15</v>
      </c>
      <c r="P6" s="106">
        <v>0.74</v>
      </c>
      <c r="Q6" s="114">
        <v>0.57999999999999996</v>
      </c>
      <c r="R6" s="109">
        <v>0.37</v>
      </c>
      <c r="S6" s="110">
        <v>0.23</v>
      </c>
      <c r="T6" s="106">
        <v>0.2</v>
      </c>
      <c r="U6" s="114">
        <v>0.36</v>
      </c>
      <c r="V6" s="109">
        <v>0.28999999999999998</v>
      </c>
      <c r="W6" s="110">
        <v>0.54</v>
      </c>
      <c r="X6" s="106">
        <v>0.56999999999999995</v>
      </c>
      <c r="Y6" s="114">
        <v>0.4</v>
      </c>
      <c r="Z6" s="109">
        <v>0.37</v>
      </c>
      <c r="AA6" s="110">
        <v>0.34</v>
      </c>
      <c r="AB6" s="106">
        <v>0.23</v>
      </c>
      <c r="AC6" s="114">
        <v>0.31</v>
      </c>
      <c r="AD6" s="109">
        <v>0.37</v>
      </c>
      <c r="AE6" s="110">
        <v>0.39</v>
      </c>
      <c r="AF6" s="132">
        <v>0.41</v>
      </c>
      <c r="AG6" s="132">
        <v>0.44</v>
      </c>
      <c r="AH6" s="109">
        <v>0.4</v>
      </c>
      <c r="AI6" s="110">
        <v>0.34</v>
      </c>
      <c r="AJ6" s="106">
        <v>0.09</v>
      </c>
      <c r="AK6" s="114">
        <v>0.39</v>
      </c>
      <c r="AL6" s="109">
        <v>0.56999999999999995</v>
      </c>
      <c r="AM6" s="110">
        <v>0.47</v>
      </c>
      <c r="AN6" s="106">
        <v>0.28999999999999998</v>
      </c>
      <c r="AO6" s="114">
        <v>0.4</v>
      </c>
      <c r="AP6" s="109">
        <v>0.49</v>
      </c>
      <c r="AQ6" s="110">
        <v>0.09</v>
      </c>
      <c r="AR6" s="106">
        <v>0.41</v>
      </c>
      <c r="AS6" s="114">
        <v>0.09</v>
      </c>
      <c r="AT6" s="109">
        <v>0.38</v>
      </c>
      <c r="AU6" s="110">
        <v>0.55000000000000004</v>
      </c>
      <c r="AV6" s="106">
        <v>0.45</v>
      </c>
      <c r="AW6" s="110">
        <v>0.4</v>
      </c>
    </row>
    <row r="7" spans="1:49" ht="18" customHeight="1">
      <c r="A7" s="85">
        <f t="shared" si="1"/>
        <v>4</v>
      </c>
      <c r="B7" s="134">
        <v>46160</v>
      </c>
      <c r="C7" s="157" t="s">
        <v>88</v>
      </c>
      <c r="D7" s="78">
        <f>'4'!K14</f>
        <v>188.8</v>
      </c>
      <c r="E7" s="83">
        <v>147</v>
      </c>
      <c r="F7" s="81" t="str">
        <f t="shared" si="0"/>
        <v>합격</v>
      </c>
      <c r="H7" s="93">
        <v>3</v>
      </c>
      <c r="I7" s="104">
        <v>105</v>
      </c>
      <c r="J7" s="109">
        <v>0.55000000000000004</v>
      </c>
      <c r="K7" s="110">
        <v>0.43</v>
      </c>
      <c r="L7" s="106">
        <v>0.85</v>
      </c>
      <c r="M7" s="114">
        <v>0.66</v>
      </c>
      <c r="N7" s="109">
        <v>0.52</v>
      </c>
      <c r="O7" s="110">
        <v>0.38</v>
      </c>
      <c r="P7" s="106">
        <v>0.89</v>
      </c>
      <c r="Q7" s="114">
        <v>0.63</v>
      </c>
      <c r="R7" s="109">
        <v>0.4</v>
      </c>
      <c r="S7" s="110">
        <v>0.46</v>
      </c>
      <c r="T7" s="106">
        <v>0.32</v>
      </c>
      <c r="U7" s="114">
        <v>0.44</v>
      </c>
      <c r="V7" s="109">
        <v>0.45</v>
      </c>
      <c r="W7" s="110">
        <v>0.65</v>
      </c>
      <c r="X7" s="106">
        <v>0.77</v>
      </c>
      <c r="Y7" s="114">
        <v>0.46</v>
      </c>
      <c r="Z7" s="109">
        <v>0.69</v>
      </c>
      <c r="AA7" s="110">
        <v>0.53</v>
      </c>
      <c r="AB7" s="106">
        <v>0.37</v>
      </c>
      <c r="AC7" s="114">
        <v>0.59</v>
      </c>
      <c r="AD7" s="109">
        <v>0.69</v>
      </c>
      <c r="AE7" s="110">
        <v>0.5</v>
      </c>
      <c r="AF7" s="132">
        <v>0.62</v>
      </c>
      <c r="AG7" s="132">
        <v>0.69</v>
      </c>
      <c r="AH7" s="109">
        <v>0.75</v>
      </c>
      <c r="AI7" s="110">
        <v>0.59</v>
      </c>
      <c r="AJ7" s="106">
        <v>0.36</v>
      </c>
      <c r="AK7" s="114">
        <v>0.5</v>
      </c>
      <c r="AL7" s="109">
        <v>0.63</v>
      </c>
      <c r="AM7" s="110">
        <v>0.72</v>
      </c>
      <c r="AN7" s="106">
        <v>0.44</v>
      </c>
      <c r="AO7" s="114">
        <v>0.5</v>
      </c>
      <c r="AP7" s="109">
        <v>0.5</v>
      </c>
      <c r="AQ7" s="110">
        <v>0.3</v>
      </c>
      <c r="AR7" s="106">
        <v>0.43</v>
      </c>
      <c r="AS7" s="114">
        <v>0.35</v>
      </c>
      <c r="AT7" s="109">
        <v>0.75</v>
      </c>
      <c r="AU7" s="110">
        <v>0.68</v>
      </c>
      <c r="AV7" s="106">
        <v>0.81</v>
      </c>
      <c r="AW7" s="110">
        <v>0.56000000000000005</v>
      </c>
    </row>
    <row r="8" spans="1:49" ht="18" customHeight="1">
      <c r="A8" s="85">
        <f t="shared" si="1"/>
        <v>5</v>
      </c>
      <c r="B8" s="134">
        <v>46161</v>
      </c>
      <c r="C8" s="157" t="s">
        <v>93</v>
      </c>
      <c r="D8" s="78">
        <f>'5'!K14</f>
        <v>182.8</v>
      </c>
      <c r="E8" s="83">
        <v>147</v>
      </c>
      <c r="F8" s="81" t="str">
        <f t="shared" ref="F8:F11" si="2">IF(D8&gt;E8,"합격","불합격")</f>
        <v>합격</v>
      </c>
      <c r="H8" s="93">
        <v>4</v>
      </c>
      <c r="I8" s="104">
        <v>140</v>
      </c>
      <c r="J8" s="109">
        <v>0.92</v>
      </c>
      <c r="K8" s="110">
        <v>0.74</v>
      </c>
      <c r="L8" s="106">
        <v>0.87</v>
      </c>
      <c r="M8" s="114">
        <v>1.03</v>
      </c>
      <c r="N8" s="109">
        <v>0.54</v>
      </c>
      <c r="O8" s="110">
        <v>0.55000000000000004</v>
      </c>
      <c r="P8" s="106">
        <v>0.95</v>
      </c>
      <c r="Q8" s="114">
        <v>0.68</v>
      </c>
      <c r="R8" s="109">
        <v>0.55000000000000004</v>
      </c>
      <c r="S8" s="110">
        <v>0.48</v>
      </c>
      <c r="T8" s="106">
        <v>0.33</v>
      </c>
      <c r="U8" s="114">
        <v>0.81</v>
      </c>
      <c r="V8" s="109">
        <v>0.82</v>
      </c>
      <c r="W8" s="110">
        <v>0.88</v>
      </c>
      <c r="X8" s="106">
        <v>1.04</v>
      </c>
      <c r="Y8" s="114">
        <v>0.83</v>
      </c>
      <c r="Z8" s="109">
        <v>0.89</v>
      </c>
      <c r="AA8" s="110">
        <v>0.66</v>
      </c>
      <c r="AB8" s="106">
        <v>0.42</v>
      </c>
      <c r="AC8" s="114">
        <v>0.86</v>
      </c>
      <c r="AD8" s="109">
        <v>0.99</v>
      </c>
      <c r="AE8" s="110">
        <v>0.73</v>
      </c>
      <c r="AF8" s="132">
        <v>0.69</v>
      </c>
      <c r="AG8" s="132">
        <v>0.71</v>
      </c>
      <c r="AH8" s="109">
        <v>1.05</v>
      </c>
      <c r="AI8" s="110">
        <v>0.75</v>
      </c>
      <c r="AJ8" s="106">
        <v>0.67</v>
      </c>
      <c r="AK8" s="114">
        <v>0.87</v>
      </c>
      <c r="AL8" s="109">
        <v>0.95</v>
      </c>
      <c r="AM8" s="110">
        <v>0.78</v>
      </c>
      <c r="AN8" s="106">
        <v>0.72</v>
      </c>
      <c r="AO8" s="114">
        <v>0.62</v>
      </c>
      <c r="AP8" s="109">
        <v>0.75</v>
      </c>
      <c r="AQ8" s="110">
        <v>0.4</v>
      </c>
      <c r="AR8" s="106">
        <v>0.68</v>
      </c>
      <c r="AS8" s="114">
        <v>0.39</v>
      </c>
      <c r="AT8" s="109">
        <v>0.87</v>
      </c>
      <c r="AU8" s="110">
        <v>0.72</v>
      </c>
      <c r="AV8" s="106">
        <v>1.1499999999999999</v>
      </c>
      <c r="AW8" s="110">
        <v>0.83</v>
      </c>
    </row>
    <row r="9" spans="1:49" ht="18" customHeight="1">
      <c r="A9" s="85">
        <f t="shared" si="1"/>
        <v>6</v>
      </c>
      <c r="B9" s="134">
        <v>46161</v>
      </c>
      <c r="C9" s="157" t="s">
        <v>94</v>
      </c>
      <c r="D9" s="78">
        <f>'6'!K14</f>
        <v>177.2</v>
      </c>
      <c r="E9" s="83">
        <v>147</v>
      </c>
      <c r="F9" s="81" t="str">
        <f t="shared" si="2"/>
        <v>합격</v>
      </c>
      <c r="H9" s="93">
        <v>5</v>
      </c>
      <c r="I9" s="104">
        <v>175</v>
      </c>
      <c r="J9" s="109">
        <v>0.98</v>
      </c>
      <c r="K9" s="110">
        <v>1.03</v>
      </c>
      <c r="L9" s="106">
        <v>1</v>
      </c>
      <c r="M9" s="114">
        <v>1.22</v>
      </c>
      <c r="N9" s="109">
        <v>0.59</v>
      </c>
      <c r="O9" s="110">
        <v>0.69</v>
      </c>
      <c r="P9" s="106">
        <v>1.21</v>
      </c>
      <c r="Q9" s="114">
        <v>0.75</v>
      </c>
      <c r="R9" s="109">
        <v>0.78</v>
      </c>
      <c r="S9" s="110">
        <v>0.5</v>
      </c>
      <c r="T9" s="106">
        <v>0.56999999999999995</v>
      </c>
      <c r="U9" s="114">
        <v>1.03</v>
      </c>
      <c r="V9" s="109">
        <v>1.18</v>
      </c>
      <c r="W9" s="110">
        <v>1.2</v>
      </c>
      <c r="X9" s="106">
        <v>1.38</v>
      </c>
      <c r="Y9" s="114">
        <v>0.93</v>
      </c>
      <c r="Z9" s="109">
        <v>1.1399999999999999</v>
      </c>
      <c r="AA9" s="110">
        <v>0.81</v>
      </c>
      <c r="AB9" s="106">
        <v>0.51</v>
      </c>
      <c r="AC9" s="114">
        <v>0.96</v>
      </c>
      <c r="AD9" s="109">
        <v>1.2</v>
      </c>
      <c r="AE9" s="110">
        <v>0.98</v>
      </c>
      <c r="AF9" s="132">
        <v>1.05</v>
      </c>
      <c r="AG9" s="132">
        <v>0.79</v>
      </c>
      <c r="AH9" s="109">
        <v>1.19</v>
      </c>
      <c r="AI9" s="110">
        <v>0.91</v>
      </c>
      <c r="AJ9" s="106">
        <v>0.94</v>
      </c>
      <c r="AK9" s="114">
        <v>1.23</v>
      </c>
      <c r="AL9" s="109">
        <v>1.32</v>
      </c>
      <c r="AM9" s="110">
        <v>0.97</v>
      </c>
      <c r="AN9" s="106">
        <v>0.8</v>
      </c>
      <c r="AO9" s="114">
        <v>0.76</v>
      </c>
      <c r="AP9" s="109">
        <v>0.97</v>
      </c>
      <c r="AQ9" s="110">
        <v>0.45</v>
      </c>
      <c r="AR9" s="106">
        <v>0.94</v>
      </c>
      <c r="AS9" s="114">
        <v>0.49</v>
      </c>
      <c r="AT9" s="109">
        <v>1.2</v>
      </c>
      <c r="AU9" s="110">
        <v>0.83</v>
      </c>
      <c r="AV9" s="106">
        <v>1.34</v>
      </c>
      <c r="AW9" s="110">
        <v>0.88</v>
      </c>
    </row>
    <row r="10" spans="1:49" ht="18" customHeight="1">
      <c r="A10" s="85">
        <f t="shared" si="1"/>
        <v>7</v>
      </c>
      <c r="B10" s="134">
        <v>46161</v>
      </c>
      <c r="C10" s="157" t="s">
        <v>89</v>
      </c>
      <c r="D10" s="78">
        <f>'7'!K14</f>
        <v>187.6</v>
      </c>
      <c r="E10" s="83">
        <v>147</v>
      </c>
      <c r="F10" s="81" t="str">
        <f t="shared" si="2"/>
        <v>합격</v>
      </c>
      <c r="H10" s="93">
        <v>6</v>
      </c>
      <c r="I10" s="104">
        <v>210</v>
      </c>
      <c r="J10" s="109">
        <v>1.1100000000000001</v>
      </c>
      <c r="K10" s="110">
        <v>1.22</v>
      </c>
      <c r="L10" s="106">
        <v>1.07</v>
      </c>
      <c r="M10" s="114">
        <v>1.53</v>
      </c>
      <c r="N10" s="109">
        <v>0.92</v>
      </c>
      <c r="O10" s="110">
        <v>0.76</v>
      </c>
      <c r="P10" s="106">
        <v>1.28</v>
      </c>
      <c r="Q10" s="114">
        <v>1.1200000000000001</v>
      </c>
      <c r="R10" s="109">
        <v>0.79</v>
      </c>
      <c r="S10" s="110">
        <v>0.65</v>
      </c>
      <c r="T10" s="106">
        <v>0.69</v>
      </c>
      <c r="U10" s="114">
        <v>1.35</v>
      </c>
      <c r="V10" s="109">
        <v>1.36</v>
      </c>
      <c r="W10" s="110">
        <v>1.41</v>
      </c>
      <c r="X10" s="106">
        <v>1.53</v>
      </c>
      <c r="Y10" s="114">
        <v>1.28</v>
      </c>
      <c r="Z10" s="109">
        <v>1.4</v>
      </c>
      <c r="AA10" s="110">
        <v>0.97</v>
      </c>
      <c r="AB10" s="106">
        <v>0.54</v>
      </c>
      <c r="AC10" s="114">
        <v>1.1200000000000001</v>
      </c>
      <c r="AD10" s="109">
        <v>1.26</v>
      </c>
      <c r="AE10" s="110">
        <v>1.0900000000000001</v>
      </c>
      <c r="AF10" s="132">
        <v>1.1599999999999999</v>
      </c>
      <c r="AG10" s="132">
        <v>0.84</v>
      </c>
      <c r="AH10" s="109">
        <v>1.46</v>
      </c>
      <c r="AI10" s="110">
        <v>0.95</v>
      </c>
      <c r="AJ10" s="106">
        <v>1.23</v>
      </c>
      <c r="AK10" s="114">
        <v>1.44</v>
      </c>
      <c r="AL10" s="109">
        <v>1.61</v>
      </c>
      <c r="AM10" s="110">
        <v>1.35</v>
      </c>
      <c r="AN10" s="106">
        <v>0.99</v>
      </c>
      <c r="AO10" s="114">
        <v>0.99</v>
      </c>
      <c r="AP10" s="109">
        <v>1.25</v>
      </c>
      <c r="AQ10" s="110">
        <v>0.65</v>
      </c>
      <c r="AR10" s="106">
        <v>1.07</v>
      </c>
      <c r="AS10" s="114">
        <v>0.63</v>
      </c>
      <c r="AT10" s="109">
        <v>1.34</v>
      </c>
      <c r="AU10" s="110">
        <v>1.1599999999999999</v>
      </c>
      <c r="AV10" s="106">
        <v>1.71</v>
      </c>
      <c r="AW10" s="110">
        <v>1.23</v>
      </c>
    </row>
    <row r="11" spans="1:49" ht="18" customHeight="1">
      <c r="A11" s="85">
        <f t="shared" si="1"/>
        <v>8</v>
      </c>
      <c r="B11" s="134">
        <v>46161</v>
      </c>
      <c r="C11" s="157" t="s">
        <v>90</v>
      </c>
      <c r="D11" s="78">
        <f>'8'!K14</f>
        <v>176</v>
      </c>
      <c r="E11" s="83">
        <v>147</v>
      </c>
      <c r="F11" s="81" t="str">
        <f t="shared" si="2"/>
        <v>합격</v>
      </c>
      <c r="H11" s="93">
        <v>7</v>
      </c>
      <c r="I11" s="104">
        <v>245</v>
      </c>
      <c r="J11" s="109">
        <v>1.32</v>
      </c>
      <c r="K11" s="110">
        <v>1.34</v>
      </c>
      <c r="L11" s="106">
        <v>1.18</v>
      </c>
      <c r="M11" s="114">
        <v>1.58</v>
      </c>
      <c r="N11" s="109">
        <v>0.97</v>
      </c>
      <c r="O11" s="110">
        <v>1.07</v>
      </c>
      <c r="P11" s="106">
        <v>1.33</v>
      </c>
      <c r="Q11" s="114">
        <v>1.28</v>
      </c>
      <c r="R11" s="109">
        <v>1.1499999999999999</v>
      </c>
      <c r="S11" s="110">
        <v>0.93</v>
      </c>
      <c r="T11" s="106">
        <v>0.98</v>
      </c>
      <c r="U11" s="114">
        <v>1.65</v>
      </c>
      <c r="V11" s="109">
        <v>1.53</v>
      </c>
      <c r="W11" s="110">
        <v>1.56</v>
      </c>
      <c r="X11" s="106">
        <v>1.73</v>
      </c>
      <c r="Y11" s="114">
        <v>1.63</v>
      </c>
      <c r="Z11" s="109">
        <v>1.52</v>
      </c>
      <c r="AA11" s="110">
        <v>1.2</v>
      </c>
      <c r="AB11" s="106">
        <v>0.78</v>
      </c>
      <c r="AC11" s="114">
        <v>1.41</v>
      </c>
      <c r="AD11" s="109">
        <v>1.29</v>
      </c>
      <c r="AE11" s="110">
        <v>1.36</v>
      </c>
      <c r="AF11" s="132">
        <v>1.44</v>
      </c>
      <c r="AG11" s="132">
        <v>1.2</v>
      </c>
      <c r="AH11" s="109">
        <v>1.72</v>
      </c>
      <c r="AI11" s="110">
        <v>1.02</v>
      </c>
      <c r="AJ11" s="106">
        <v>1.5</v>
      </c>
      <c r="AK11" s="114">
        <v>1.61</v>
      </c>
      <c r="AL11" s="109">
        <v>1.68</v>
      </c>
      <c r="AM11" s="110">
        <v>1.41</v>
      </c>
      <c r="AN11" s="106">
        <v>1.35</v>
      </c>
      <c r="AO11" s="114">
        <v>1.3</v>
      </c>
      <c r="AP11" s="109">
        <v>1.4</v>
      </c>
      <c r="AQ11" s="110">
        <v>0.87</v>
      </c>
      <c r="AR11" s="106">
        <v>1.43</v>
      </c>
      <c r="AS11" s="114">
        <v>0.66</v>
      </c>
      <c r="AT11" s="109">
        <v>1.69</v>
      </c>
      <c r="AU11" s="110">
        <v>1.31</v>
      </c>
      <c r="AV11" s="106">
        <v>2.0499999999999998</v>
      </c>
      <c r="AW11" s="110">
        <v>1.6</v>
      </c>
    </row>
    <row r="12" spans="1:49" ht="18" customHeight="1">
      <c r="A12" s="85">
        <f t="shared" si="1"/>
        <v>9</v>
      </c>
      <c r="B12" s="134">
        <v>46164</v>
      </c>
      <c r="C12" s="158" t="s">
        <v>95</v>
      </c>
      <c r="D12" s="78">
        <f>'9'!K14</f>
        <v>170</v>
      </c>
      <c r="E12" s="83">
        <v>147</v>
      </c>
      <c r="F12" s="81" t="str">
        <f t="shared" ref="F12" si="3">IF(D12&gt;E12,"합격","불합격")</f>
        <v>합격</v>
      </c>
      <c r="H12" s="93">
        <v>8</v>
      </c>
      <c r="I12" s="104">
        <v>280</v>
      </c>
      <c r="J12" s="109">
        <v>1.39</v>
      </c>
      <c r="K12" s="110">
        <v>1.64</v>
      </c>
      <c r="L12" s="106">
        <v>1.36</v>
      </c>
      <c r="M12" s="114">
        <v>1.87</v>
      </c>
      <c r="N12" s="109">
        <v>1.28</v>
      </c>
      <c r="O12" s="110">
        <v>1.27</v>
      </c>
      <c r="P12" s="106">
        <v>1.61</v>
      </c>
      <c r="Q12" s="114">
        <v>1.44</v>
      </c>
      <c r="R12" s="109">
        <v>1.36</v>
      </c>
      <c r="S12" s="110">
        <v>1.3</v>
      </c>
      <c r="T12" s="106">
        <v>1.1299999999999999</v>
      </c>
      <c r="U12" s="114">
        <v>1.77</v>
      </c>
      <c r="V12" s="109">
        <v>1.84</v>
      </c>
      <c r="W12" s="110">
        <v>1.67</v>
      </c>
      <c r="X12" s="106">
        <v>1.77</v>
      </c>
      <c r="Y12" s="114">
        <v>1.65</v>
      </c>
      <c r="Z12" s="109">
        <v>1.68</v>
      </c>
      <c r="AA12" s="110">
        <v>1.42</v>
      </c>
      <c r="AB12" s="106">
        <v>0.83</v>
      </c>
      <c r="AC12" s="114">
        <v>1.61</v>
      </c>
      <c r="AD12" s="109">
        <v>1.49</v>
      </c>
      <c r="AE12" s="110">
        <v>1.37</v>
      </c>
      <c r="AF12" s="132">
        <v>1.69</v>
      </c>
      <c r="AG12" s="132">
        <v>1.41</v>
      </c>
      <c r="AH12" s="109">
        <v>1.97</v>
      </c>
      <c r="AI12" s="110">
        <v>1.21</v>
      </c>
      <c r="AJ12" s="106">
        <v>1.67</v>
      </c>
      <c r="AK12" s="114">
        <v>1.69</v>
      </c>
      <c r="AL12" s="109">
        <v>1.9</v>
      </c>
      <c r="AM12" s="110">
        <v>1.68</v>
      </c>
      <c r="AN12" s="106">
        <v>1.36</v>
      </c>
      <c r="AO12" s="114">
        <v>1.63</v>
      </c>
      <c r="AP12" s="109">
        <v>1.77</v>
      </c>
      <c r="AQ12" s="110">
        <v>1</v>
      </c>
      <c r="AR12" s="106">
        <v>1.75</v>
      </c>
      <c r="AS12" s="114">
        <v>1.01</v>
      </c>
      <c r="AT12" s="109">
        <v>1.84</v>
      </c>
      <c r="AU12" s="110">
        <v>1.39</v>
      </c>
      <c r="AV12" s="106">
        <v>2.41</v>
      </c>
      <c r="AW12" s="110">
        <v>1.73</v>
      </c>
    </row>
    <row r="13" spans="1:49" ht="18" customHeight="1">
      <c r="A13" s="85">
        <f t="shared" si="1"/>
        <v>10</v>
      </c>
      <c r="B13" s="134">
        <v>46164</v>
      </c>
      <c r="C13" s="158" t="s">
        <v>96</v>
      </c>
      <c r="D13" s="78">
        <f>'10'!K14</f>
        <v>166</v>
      </c>
      <c r="E13" s="83">
        <v>147</v>
      </c>
      <c r="F13" s="81" t="str">
        <f t="shared" ref="F13" si="4">IF(D13&gt;E13,"합격","불합격")</f>
        <v>합격</v>
      </c>
      <c r="H13" s="93">
        <v>9</v>
      </c>
      <c r="I13" s="104">
        <v>315</v>
      </c>
      <c r="J13" s="109">
        <v>1.48</v>
      </c>
      <c r="K13" s="110">
        <v>1.69</v>
      </c>
      <c r="L13" s="106">
        <v>1.55</v>
      </c>
      <c r="M13" s="114">
        <v>2</v>
      </c>
      <c r="N13" s="109">
        <v>1.39</v>
      </c>
      <c r="O13" s="110">
        <v>1.31</v>
      </c>
      <c r="P13" s="106">
        <v>1.84</v>
      </c>
      <c r="Q13" s="114">
        <v>1.64</v>
      </c>
      <c r="R13" s="109">
        <v>1.47</v>
      </c>
      <c r="S13" s="110">
        <v>1.4</v>
      </c>
      <c r="T13" s="106">
        <v>1.28</v>
      </c>
      <c r="U13" s="114">
        <v>1.92</v>
      </c>
      <c r="V13" s="109">
        <v>2.21</v>
      </c>
      <c r="W13" s="110">
        <v>1.96</v>
      </c>
      <c r="X13" s="106">
        <v>1.8</v>
      </c>
      <c r="Y13" s="114">
        <v>1.92</v>
      </c>
      <c r="Z13" s="109">
        <v>1.69</v>
      </c>
      <c r="AA13" s="110">
        <v>1.71</v>
      </c>
      <c r="AB13" s="106">
        <v>0.85</v>
      </c>
      <c r="AC13" s="114">
        <v>1.81</v>
      </c>
      <c r="AD13" s="109">
        <v>1.72</v>
      </c>
      <c r="AE13" s="110">
        <v>1.58</v>
      </c>
      <c r="AF13" s="132">
        <v>1.88</v>
      </c>
      <c r="AG13" s="132">
        <v>1.42</v>
      </c>
      <c r="AH13" s="109">
        <v>2.02</v>
      </c>
      <c r="AI13" s="110">
        <v>1.45</v>
      </c>
      <c r="AJ13" s="106">
        <v>1.97</v>
      </c>
      <c r="AK13" s="114">
        <v>1.79</v>
      </c>
      <c r="AL13" s="109">
        <v>2.0499999999999998</v>
      </c>
      <c r="AM13" s="110">
        <v>1.75</v>
      </c>
      <c r="AN13" s="106">
        <v>1.5</v>
      </c>
      <c r="AO13" s="114">
        <v>1.77</v>
      </c>
      <c r="AP13" s="109">
        <v>1.93</v>
      </c>
      <c r="AQ13" s="110">
        <v>1.35</v>
      </c>
      <c r="AR13" s="106">
        <v>2.09</v>
      </c>
      <c r="AS13" s="114">
        <v>1.0900000000000001</v>
      </c>
      <c r="AT13" s="109">
        <v>2.2000000000000002</v>
      </c>
      <c r="AU13" s="110">
        <v>1.49</v>
      </c>
      <c r="AV13" s="106">
        <v>2.71</v>
      </c>
      <c r="AW13" s="110">
        <v>1.96</v>
      </c>
    </row>
    <row r="14" spans="1:49" ht="18" customHeight="1">
      <c r="A14" s="85">
        <f t="shared" si="1"/>
        <v>11</v>
      </c>
      <c r="B14" s="134">
        <v>46164</v>
      </c>
      <c r="C14" s="158" t="s">
        <v>97</v>
      </c>
      <c r="D14" s="78">
        <f>'11'!K14</f>
        <v>163.19999999999999</v>
      </c>
      <c r="E14" s="83">
        <v>147</v>
      </c>
      <c r="F14" s="81" t="str">
        <f t="shared" ref="F14:F26" si="5">IF(D14&gt;E14,"합격","불합격")</f>
        <v>합격</v>
      </c>
      <c r="H14" s="93">
        <v>10</v>
      </c>
      <c r="I14" s="104">
        <v>350</v>
      </c>
      <c r="J14" s="109"/>
      <c r="K14" s="110"/>
      <c r="L14" s="106">
        <v>1.67</v>
      </c>
      <c r="M14" s="114">
        <v>2.35</v>
      </c>
      <c r="N14" s="109">
        <v>1.45</v>
      </c>
      <c r="O14" s="110">
        <v>1.67</v>
      </c>
      <c r="P14" s="106">
        <v>1.99</v>
      </c>
      <c r="Q14" s="114">
        <v>1.9</v>
      </c>
      <c r="R14" s="109">
        <v>1.58</v>
      </c>
      <c r="S14" s="110">
        <v>1.71</v>
      </c>
      <c r="T14" s="106">
        <v>1.56</v>
      </c>
      <c r="U14" s="114">
        <v>2.15</v>
      </c>
      <c r="V14" s="109">
        <v>2.4500000000000002</v>
      </c>
      <c r="W14" s="110">
        <v>2.0299999999999998</v>
      </c>
      <c r="X14" s="106">
        <v>1.9</v>
      </c>
      <c r="Y14" s="114">
        <v>2.29</v>
      </c>
      <c r="Z14" s="109">
        <v>1.86</v>
      </c>
      <c r="AA14" s="110">
        <v>1.93</v>
      </c>
      <c r="AB14" s="106">
        <v>1.1599999999999999</v>
      </c>
      <c r="AC14" s="114">
        <v>2.12</v>
      </c>
      <c r="AD14" s="109">
        <v>1.99</v>
      </c>
      <c r="AE14" s="110">
        <v>1.92</v>
      </c>
      <c r="AF14" s="132">
        <v>1.94</v>
      </c>
      <c r="AG14" s="132">
        <v>1.75</v>
      </c>
      <c r="AH14" s="109">
        <v>2.25</v>
      </c>
      <c r="AI14" s="110">
        <v>1.53</v>
      </c>
      <c r="AJ14" s="106">
        <v>1.98</v>
      </c>
      <c r="AK14" s="114">
        <v>1.85</v>
      </c>
      <c r="AL14" s="109">
        <v>2.39</v>
      </c>
      <c r="AM14" s="110">
        <v>1.92</v>
      </c>
      <c r="AN14" s="106">
        <v>1.82</v>
      </c>
      <c r="AO14" s="114">
        <v>2.0299999999999998</v>
      </c>
      <c r="AP14" s="109">
        <v>2.11</v>
      </c>
      <c r="AQ14" s="110">
        <v>1.36</v>
      </c>
      <c r="AR14" s="106">
        <v>2.2599999999999998</v>
      </c>
      <c r="AS14" s="114">
        <v>1.33</v>
      </c>
      <c r="AT14" s="109">
        <v>2.44</v>
      </c>
      <c r="AU14" s="110">
        <v>1.59</v>
      </c>
      <c r="AV14" s="106">
        <v>2.99</v>
      </c>
      <c r="AW14" s="110">
        <v>2.2200000000000002</v>
      </c>
    </row>
    <row r="15" spans="1:49" ht="18" customHeight="1">
      <c r="A15" s="85">
        <f t="shared" si="1"/>
        <v>12</v>
      </c>
      <c r="B15" s="134">
        <v>46164</v>
      </c>
      <c r="C15" s="158" t="s">
        <v>98</v>
      </c>
      <c r="D15" s="78">
        <f>'12'!K14</f>
        <v>166.4</v>
      </c>
      <c r="E15" s="83">
        <v>147</v>
      </c>
      <c r="F15" s="81" t="str">
        <f t="shared" si="5"/>
        <v>합격</v>
      </c>
      <c r="H15" s="93">
        <v>11</v>
      </c>
      <c r="I15" s="104">
        <v>385</v>
      </c>
      <c r="J15" s="109"/>
      <c r="K15" s="110"/>
      <c r="L15" s="106">
        <v>1.74</v>
      </c>
      <c r="M15" s="114">
        <v>2.68</v>
      </c>
      <c r="N15" s="109">
        <v>1.46</v>
      </c>
      <c r="O15" s="110">
        <v>1.91</v>
      </c>
      <c r="P15" s="106">
        <v>2.14</v>
      </c>
      <c r="Q15" s="114">
        <v>1.95</v>
      </c>
      <c r="R15" s="109">
        <v>1.62</v>
      </c>
      <c r="S15" s="110">
        <v>1.88</v>
      </c>
      <c r="T15" s="106">
        <v>1.85</v>
      </c>
      <c r="U15" s="114">
        <v>2.46</v>
      </c>
      <c r="V15" s="109">
        <v>2.69</v>
      </c>
      <c r="W15" s="110">
        <v>2.37</v>
      </c>
      <c r="X15" s="106">
        <v>1.95</v>
      </c>
      <c r="Y15" s="114">
        <v>2.5499999999999998</v>
      </c>
      <c r="Z15" s="109">
        <v>2.16</v>
      </c>
      <c r="AA15" s="110">
        <v>2.21</v>
      </c>
      <c r="AB15" s="106">
        <v>1.3</v>
      </c>
      <c r="AC15" s="114">
        <v>2.33</v>
      </c>
      <c r="AD15" s="109">
        <v>2.2000000000000002</v>
      </c>
      <c r="AE15" s="110">
        <v>2.1</v>
      </c>
      <c r="AF15" s="132">
        <v>2.06</v>
      </c>
      <c r="AG15" s="132">
        <v>1.82</v>
      </c>
      <c r="AH15" s="109">
        <v>2.2599999999999998</v>
      </c>
      <c r="AI15" s="110">
        <v>1.84</v>
      </c>
      <c r="AJ15" s="106">
        <v>2.17</v>
      </c>
      <c r="AK15" s="114">
        <v>2.0699999999999998</v>
      </c>
      <c r="AL15" s="109">
        <v>2.58</v>
      </c>
      <c r="AM15" s="110">
        <v>2.29</v>
      </c>
      <c r="AN15" s="106">
        <v>2.0299999999999998</v>
      </c>
      <c r="AO15" s="114">
        <v>2.19</v>
      </c>
      <c r="AP15" s="109">
        <v>2.16</v>
      </c>
      <c r="AQ15" s="110">
        <v>1.39</v>
      </c>
      <c r="AR15" s="106">
        <v>2.4700000000000002</v>
      </c>
      <c r="AS15" s="114">
        <v>1.34</v>
      </c>
      <c r="AT15" s="109">
        <v>2.77</v>
      </c>
      <c r="AU15" s="110">
        <v>1.83</v>
      </c>
      <c r="AV15" s="106">
        <v>3.24</v>
      </c>
      <c r="AW15" s="110">
        <v>2.31</v>
      </c>
    </row>
    <row r="16" spans="1:49" ht="18" customHeight="1">
      <c r="A16" s="85">
        <f t="shared" si="1"/>
        <v>13</v>
      </c>
      <c r="B16" s="134">
        <v>46168</v>
      </c>
      <c r="C16" s="158" t="s">
        <v>99</v>
      </c>
      <c r="D16" s="78">
        <f>'13'!K14</f>
        <v>162.80000000000001</v>
      </c>
      <c r="E16" s="83">
        <v>147</v>
      </c>
      <c r="F16" s="81" t="str">
        <f t="shared" si="5"/>
        <v>합격</v>
      </c>
      <c r="H16" s="93">
        <v>12</v>
      </c>
      <c r="I16" s="104">
        <v>420</v>
      </c>
      <c r="J16" s="109"/>
      <c r="K16" s="110"/>
      <c r="L16" s="106">
        <v>1.98</v>
      </c>
      <c r="M16" s="114">
        <v>2.97</v>
      </c>
      <c r="N16" s="109">
        <v>1.63</v>
      </c>
      <c r="O16" s="110">
        <v>2.04</v>
      </c>
      <c r="P16" s="106">
        <v>2.2999999999999998</v>
      </c>
      <c r="Q16" s="114">
        <v>2.0299999999999998</v>
      </c>
      <c r="R16" s="109">
        <v>1.92</v>
      </c>
      <c r="S16" s="110">
        <v>1.91</v>
      </c>
      <c r="T16" s="106">
        <v>1.86</v>
      </c>
      <c r="U16" s="114">
        <v>2.83</v>
      </c>
      <c r="V16" s="109">
        <v>2.83</v>
      </c>
      <c r="W16" s="110">
        <v>2.73</v>
      </c>
      <c r="X16" s="106">
        <v>1.97</v>
      </c>
      <c r="Y16" s="114">
        <v>2.62</v>
      </c>
      <c r="Z16" s="109">
        <v>2.25</v>
      </c>
      <c r="AA16" s="110">
        <v>2.4900000000000002</v>
      </c>
      <c r="AB16" s="106">
        <v>1.42</v>
      </c>
      <c r="AC16" s="114">
        <v>2.42</v>
      </c>
      <c r="AD16" s="109">
        <v>2.31</v>
      </c>
      <c r="AE16" s="110">
        <v>2.19</v>
      </c>
      <c r="AF16" s="132">
        <v>2.2400000000000002</v>
      </c>
      <c r="AG16" s="132">
        <v>2.16</v>
      </c>
      <c r="AH16" s="109">
        <v>2.59</v>
      </c>
      <c r="AI16" s="110">
        <v>1.93</v>
      </c>
      <c r="AJ16" s="106">
        <v>2.2599999999999998</v>
      </c>
      <c r="AK16" s="114">
        <v>2.23</v>
      </c>
      <c r="AL16" s="109">
        <v>2.82</v>
      </c>
      <c r="AM16" s="110">
        <v>2.5</v>
      </c>
      <c r="AN16" s="106">
        <v>2.34</v>
      </c>
      <c r="AO16" s="114">
        <v>2.23</v>
      </c>
      <c r="AP16" s="109">
        <v>2.52</v>
      </c>
      <c r="AQ16" s="110">
        <v>1.72</v>
      </c>
      <c r="AR16" s="106">
        <v>2.5099999999999998</v>
      </c>
      <c r="AS16" s="114">
        <v>1.48</v>
      </c>
      <c r="AT16" s="109">
        <v>2.97</v>
      </c>
      <c r="AU16" s="110">
        <v>2</v>
      </c>
      <c r="AV16" s="106">
        <v>3.5</v>
      </c>
      <c r="AW16" s="110">
        <v>2.34</v>
      </c>
    </row>
    <row r="17" spans="1:49" ht="18" customHeight="1">
      <c r="A17" s="85">
        <f t="shared" si="1"/>
        <v>14</v>
      </c>
      <c r="B17" s="134">
        <v>46168</v>
      </c>
      <c r="C17" s="158" t="s">
        <v>100</v>
      </c>
      <c r="D17" s="78">
        <f>'14'!K14</f>
        <v>166</v>
      </c>
      <c r="E17" s="83">
        <v>147</v>
      </c>
      <c r="F17" s="81" t="str">
        <f t="shared" si="5"/>
        <v>합격</v>
      </c>
      <c r="H17" s="93"/>
      <c r="I17" s="104"/>
      <c r="J17" s="109"/>
      <c r="K17" s="110"/>
      <c r="L17" s="106"/>
      <c r="M17" s="114"/>
      <c r="N17" s="109"/>
      <c r="O17" s="110"/>
      <c r="P17" s="106"/>
      <c r="Q17" s="114"/>
      <c r="R17" s="109"/>
      <c r="S17" s="110"/>
      <c r="T17" s="106"/>
      <c r="U17" s="114"/>
      <c r="V17" s="109"/>
      <c r="W17" s="110"/>
      <c r="X17" s="106"/>
      <c r="Y17" s="114"/>
      <c r="Z17" s="109"/>
      <c r="AA17" s="110"/>
      <c r="AB17" s="106"/>
      <c r="AC17" s="114"/>
      <c r="AD17" s="109"/>
      <c r="AE17" s="110"/>
      <c r="AF17" s="106"/>
      <c r="AG17" s="114"/>
      <c r="AH17" s="109"/>
      <c r="AI17" s="110"/>
      <c r="AJ17" s="106"/>
      <c r="AK17" s="114"/>
      <c r="AL17" s="109"/>
      <c r="AM17" s="110"/>
      <c r="AN17" s="106"/>
      <c r="AO17" s="114"/>
      <c r="AP17" s="109"/>
      <c r="AQ17" s="110"/>
      <c r="AR17" s="106"/>
      <c r="AS17" s="114"/>
      <c r="AT17" s="109"/>
      <c r="AU17" s="110"/>
      <c r="AV17" s="106"/>
      <c r="AW17" s="110"/>
    </row>
    <row r="18" spans="1:49" ht="18" customHeight="1" thickBot="1">
      <c r="A18" s="85">
        <f t="shared" si="1"/>
        <v>15</v>
      </c>
      <c r="B18" s="134">
        <v>46168</v>
      </c>
      <c r="C18" s="158" t="s">
        <v>101</v>
      </c>
      <c r="D18" s="78">
        <f>'15'!K14</f>
        <v>171.6</v>
      </c>
      <c r="E18" s="83">
        <v>147</v>
      </c>
      <c r="F18" s="81" t="str">
        <f t="shared" si="5"/>
        <v>합격</v>
      </c>
      <c r="H18" s="93"/>
      <c r="I18" s="104"/>
      <c r="J18" s="111"/>
      <c r="K18" s="112"/>
      <c r="L18" s="115"/>
      <c r="M18" s="116"/>
      <c r="N18" s="111"/>
      <c r="O18" s="112"/>
      <c r="P18" s="115"/>
      <c r="Q18" s="116"/>
      <c r="R18" s="111"/>
      <c r="S18" s="112"/>
      <c r="T18" s="115"/>
      <c r="U18" s="116"/>
      <c r="V18" s="111"/>
      <c r="W18" s="112"/>
      <c r="X18" s="115"/>
      <c r="Y18" s="116"/>
      <c r="Z18" s="111"/>
      <c r="AA18" s="112"/>
      <c r="AB18" s="115"/>
      <c r="AC18" s="116"/>
      <c r="AD18" s="111"/>
      <c r="AE18" s="112"/>
      <c r="AF18" s="115"/>
      <c r="AG18" s="116"/>
      <c r="AH18" s="111"/>
      <c r="AI18" s="112"/>
      <c r="AJ18" s="115"/>
      <c r="AK18" s="116"/>
      <c r="AL18" s="111"/>
      <c r="AM18" s="112"/>
      <c r="AN18" s="115"/>
      <c r="AO18" s="116"/>
      <c r="AP18" s="111"/>
      <c r="AQ18" s="112"/>
      <c r="AR18" s="115"/>
      <c r="AS18" s="116"/>
      <c r="AT18" s="111"/>
      <c r="AU18" s="112"/>
      <c r="AV18" s="115"/>
      <c r="AW18" s="112"/>
    </row>
    <row r="19" spans="1:49" ht="18" customHeight="1">
      <c r="A19" s="85">
        <f t="shared" si="1"/>
        <v>16</v>
      </c>
      <c r="B19" s="134">
        <v>46168</v>
      </c>
      <c r="C19" s="158" t="s">
        <v>102</v>
      </c>
      <c r="D19" s="78">
        <f>'16'!K14</f>
        <v>167.6</v>
      </c>
      <c r="E19" s="83">
        <v>147</v>
      </c>
      <c r="F19" s="81" t="str">
        <f t="shared" si="5"/>
        <v>합격</v>
      </c>
    </row>
    <row r="20" spans="1:49" ht="18" customHeight="1">
      <c r="A20" s="85">
        <f t="shared" si="1"/>
        <v>17</v>
      </c>
      <c r="B20" s="134">
        <v>46169</v>
      </c>
      <c r="C20" s="158" t="s">
        <v>103</v>
      </c>
      <c r="D20" s="78">
        <f>'17'!K14</f>
        <v>170.8</v>
      </c>
      <c r="E20" s="83">
        <v>147</v>
      </c>
      <c r="F20" s="81" t="str">
        <f t="shared" si="5"/>
        <v>합격</v>
      </c>
      <c r="H20" s="93">
        <v>12</v>
      </c>
      <c r="I20" s="104">
        <v>420</v>
      </c>
      <c r="J20" s="109"/>
      <c r="K20" s="110"/>
      <c r="L20" s="106">
        <v>1.98</v>
      </c>
      <c r="M20" s="114">
        <v>2.97</v>
      </c>
      <c r="N20" s="109">
        <v>1.63</v>
      </c>
      <c r="O20" s="110">
        <v>2.04</v>
      </c>
      <c r="P20" s="106">
        <v>2.2999999999999998</v>
      </c>
      <c r="Q20" s="114">
        <v>2.0299999999999998</v>
      </c>
      <c r="R20" s="109">
        <v>1.92</v>
      </c>
      <c r="S20" s="110">
        <v>1.91</v>
      </c>
      <c r="T20" s="106">
        <v>1.86</v>
      </c>
      <c r="U20" s="114">
        <v>2.83</v>
      </c>
      <c r="V20" s="109">
        <v>2.83</v>
      </c>
      <c r="W20" s="110">
        <v>2.73</v>
      </c>
      <c r="X20" s="106">
        <v>1.97</v>
      </c>
      <c r="Y20" s="114">
        <v>2.62</v>
      </c>
      <c r="Z20" s="109">
        <v>2.25</v>
      </c>
      <c r="AA20" s="110">
        <v>2.4900000000000002</v>
      </c>
      <c r="AB20" s="106">
        <v>1.42</v>
      </c>
      <c r="AC20" s="114">
        <v>2.42</v>
      </c>
      <c r="AD20" s="109">
        <v>2.31</v>
      </c>
      <c r="AE20" s="110">
        <v>2.19</v>
      </c>
      <c r="AF20" s="132">
        <v>2.2400000000000002</v>
      </c>
      <c r="AG20" s="132">
        <v>2.16</v>
      </c>
      <c r="AH20" s="109">
        <v>2.59</v>
      </c>
      <c r="AI20" s="110">
        <v>1.93</v>
      </c>
      <c r="AJ20" s="106">
        <v>2.2599999999999998</v>
      </c>
      <c r="AK20" s="114">
        <v>2.23</v>
      </c>
      <c r="AL20" s="109">
        <v>2.82</v>
      </c>
      <c r="AM20" s="110">
        <v>2.5</v>
      </c>
      <c r="AN20" s="106">
        <v>2.34</v>
      </c>
      <c r="AO20" s="114">
        <v>2.23</v>
      </c>
      <c r="AP20" s="109">
        <v>2.52</v>
      </c>
      <c r="AQ20" s="110">
        <v>1.72</v>
      </c>
      <c r="AR20" s="106">
        <v>2.5099999999999998</v>
      </c>
      <c r="AS20" s="114">
        <v>1.48</v>
      </c>
      <c r="AT20" s="109">
        <v>2.97</v>
      </c>
      <c r="AU20" s="110">
        <v>2</v>
      </c>
      <c r="AV20" s="106">
        <v>3.5</v>
      </c>
      <c r="AW20" s="110">
        <v>2.34</v>
      </c>
    </row>
    <row r="21" spans="1:49" ht="18" customHeight="1">
      <c r="A21" s="85">
        <f t="shared" si="1"/>
        <v>18</v>
      </c>
      <c r="B21" s="134">
        <v>46169</v>
      </c>
      <c r="C21" s="158" t="s">
        <v>104</v>
      </c>
      <c r="D21" s="78">
        <f>'18'!K14</f>
        <v>169.6</v>
      </c>
      <c r="E21" s="83">
        <v>147</v>
      </c>
      <c r="F21" s="81" t="str">
        <f t="shared" si="5"/>
        <v>합격</v>
      </c>
      <c r="H21" s="93"/>
      <c r="I21" s="104"/>
      <c r="J21" s="109"/>
      <c r="K21" s="110"/>
      <c r="L21" s="106"/>
      <c r="M21" s="114"/>
      <c r="N21" s="109"/>
      <c r="O21" s="110"/>
      <c r="P21" s="106"/>
      <c r="Q21" s="114"/>
      <c r="R21" s="109"/>
      <c r="S21" s="110"/>
      <c r="T21" s="106"/>
      <c r="U21" s="114"/>
      <c r="V21" s="109"/>
      <c r="W21" s="110"/>
      <c r="X21" s="106"/>
      <c r="Y21" s="114"/>
      <c r="Z21" s="109"/>
      <c r="AA21" s="110"/>
      <c r="AB21" s="106"/>
      <c r="AC21" s="114"/>
      <c r="AD21" s="109"/>
      <c r="AE21" s="110"/>
      <c r="AF21" s="106"/>
      <c r="AG21" s="114"/>
      <c r="AH21" s="109"/>
      <c r="AI21" s="110"/>
      <c r="AJ21" s="106"/>
      <c r="AK21" s="114"/>
      <c r="AL21" s="109"/>
      <c r="AM21" s="110"/>
      <c r="AN21" s="106"/>
      <c r="AO21" s="114"/>
      <c r="AP21" s="109"/>
      <c r="AQ21" s="110"/>
      <c r="AR21" s="106"/>
      <c r="AS21" s="114"/>
      <c r="AT21" s="109"/>
      <c r="AU21" s="110"/>
      <c r="AV21" s="106"/>
      <c r="AW21" s="110"/>
    </row>
    <row r="22" spans="1:49" ht="18" customHeight="1" thickBot="1">
      <c r="A22" s="85">
        <f t="shared" si="1"/>
        <v>19</v>
      </c>
      <c r="B22" s="134">
        <v>46169</v>
      </c>
      <c r="C22" s="158" t="s">
        <v>105</v>
      </c>
      <c r="D22" s="78">
        <f>'19'!K14</f>
        <v>165.2</v>
      </c>
      <c r="E22" s="83">
        <v>147</v>
      </c>
      <c r="F22" s="81" t="str">
        <f t="shared" si="5"/>
        <v>합격</v>
      </c>
      <c r="H22" s="93"/>
      <c r="I22" s="104"/>
      <c r="J22" s="111"/>
      <c r="K22" s="112"/>
      <c r="L22" s="115"/>
      <c r="M22" s="116"/>
      <c r="N22" s="111"/>
      <c r="O22" s="112"/>
      <c r="P22" s="115"/>
      <c r="Q22" s="116"/>
      <c r="R22" s="111"/>
      <c r="S22" s="112"/>
      <c r="T22" s="115"/>
      <c r="U22" s="116"/>
      <c r="V22" s="111"/>
      <c r="W22" s="112"/>
      <c r="X22" s="115"/>
      <c r="Y22" s="116"/>
      <c r="Z22" s="111"/>
      <c r="AA22" s="112"/>
      <c r="AB22" s="115"/>
      <c r="AC22" s="116"/>
      <c r="AD22" s="111"/>
      <c r="AE22" s="112"/>
      <c r="AF22" s="115"/>
      <c r="AG22" s="116"/>
      <c r="AH22" s="111"/>
      <c r="AI22" s="112"/>
      <c r="AJ22" s="115"/>
      <c r="AK22" s="116"/>
      <c r="AL22" s="111"/>
      <c r="AM22" s="112"/>
      <c r="AN22" s="115"/>
      <c r="AO22" s="116"/>
      <c r="AP22" s="111"/>
      <c r="AQ22" s="112"/>
      <c r="AR22" s="115"/>
      <c r="AS22" s="116"/>
      <c r="AT22" s="111"/>
      <c r="AU22" s="112"/>
      <c r="AV22" s="115"/>
      <c r="AW22" s="112"/>
    </row>
    <row r="23" spans="1:49" ht="18" customHeight="1">
      <c r="A23" s="85">
        <f t="shared" si="1"/>
        <v>20</v>
      </c>
      <c r="B23" s="134">
        <v>46169</v>
      </c>
      <c r="C23" s="158" t="s">
        <v>106</v>
      </c>
      <c r="D23" s="78">
        <f>'20'!K14</f>
        <v>162.4</v>
      </c>
      <c r="E23" s="83">
        <v>147</v>
      </c>
      <c r="F23" s="81" t="str">
        <f t="shared" si="5"/>
        <v>합격</v>
      </c>
    </row>
    <row r="24" spans="1:49" ht="18" customHeight="1">
      <c r="A24" s="85">
        <f>A23+1</f>
        <v>21</v>
      </c>
      <c r="B24" s="134">
        <v>46170</v>
      </c>
      <c r="C24" s="158" t="s">
        <v>107</v>
      </c>
      <c r="D24" s="78">
        <f>'21'!K14</f>
        <v>173.2</v>
      </c>
      <c r="E24" s="83">
        <v>147</v>
      </c>
      <c r="F24" s="81" t="str">
        <f t="shared" si="5"/>
        <v>합격</v>
      </c>
    </row>
    <row r="25" spans="1:49" ht="18" customHeight="1">
      <c r="A25" s="85">
        <f t="shared" ref="A25:A33" si="6">A24+1</f>
        <v>22</v>
      </c>
      <c r="B25" s="134">
        <v>46170</v>
      </c>
      <c r="C25" s="158" t="s">
        <v>108</v>
      </c>
      <c r="D25" s="78">
        <f>'22'!K14</f>
        <v>168</v>
      </c>
      <c r="E25" s="83">
        <v>147</v>
      </c>
      <c r="F25" s="81" t="str">
        <f t="shared" ref="F25" si="7">IF(D25&gt;E25,"합격","불합격")</f>
        <v>합격</v>
      </c>
    </row>
    <row r="26" spans="1:49" ht="18" customHeight="1">
      <c r="A26" s="85">
        <f t="shared" si="6"/>
        <v>23</v>
      </c>
      <c r="B26" s="134">
        <v>46170</v>
      </c>
      <c r="C26" s="158" t="s">
        <v>109</v>
      </c>
      <c r="D26" s="78">
        <f>'23'!K14</f>
        <v>181.2</v>
      </c>
      <c r="E26" s="83">
        <v>147</v>
      </c>
      <c r="F26" s="81" t="str">
        <f t="shared" si="5"/>
        <v>합격</v>
      </c>
    </row>
    <row r="27" spans="1:49" ht="18" customHeight="1">
      <c r="A27" s="85">
        <f t="shared" si="6"/>
        <v>24</v>
      </c>
      <c r="B27" s="134">
        <v>46170</v>
      </c>
      <c r="C27" s="158" t="s">
        <v>110</v>
      </c>
      <c r="D27" s="78">
        <f>'24'!K14</f>
        <v>183.2</v>
      </c>
      <c r="E27" s="83">
        <v>147</v>
      </c>
      <c r="F27" s="81" t="str">
        <f t="shared" ref="F27:F29" si="8">IF(D27&gt;E27,"합격","불합격")</f>
        <v>합격</v>
      </c>
    </row>
    <row r="28" spans="1:49" ht="18" customHeight="1">
      <c r="A28" s="85">
        <f t="shared" si="6"/>
        <v>25</v>
      </c>
      <c r="B28" s="134">
        <v>46171</v>
      </c>
      <c r="C28" s="158" t="s">
        <v>111</v>
      </c>
      <c r="D28" s="78">
        <f>'25'!K14</f>
        <v>172.4</v>
      </c>
      <c r="E28" s="83">
        <v>147</v>
      </c>
      <c r="F28" s="81" t="str">
        <f t="shared" si="8"/>
        <v>합격</v>
      </c>
    </row>
    <row r="29" spans="1:49" ht="18" customHeight="1">
      <c r="A29" s="85">
        <f t="shared" si="6"/>
        <v>26</v>
      </c>
      <c r="B29" s="134">
        <v>46171</v>
      </c>
      <c r="C29" s="158" t="s">
        <v>112</v>
      </c>
      <c r="D29" s="78">
        <f>'26'!K14</f>
        <v>171.2</v>
      </c>
      <c r="E29" s="83">
        <v>147</v>
      </c>
      <c r="F29" s="81" t="str">
        <f t="shared" si="8"/>
        <v>합격</v>
      </c>
    </row>
    <row r="30" spans="1:49" ht="18" customHeight="1">
      <c r="A30" s="85">
        <f t="shared" si="6"/>
        <v>27</v>
      </c>
      <c r="B30" s="134">
        <v>46171</v>
      </c>
      <c r="C30" s="158" t="s">
        <v>113</v>
      </c>
      <c r="D30" s="78">
        <f>'27'!K14</f>
        <v>182.4</v>
      </c>
      <c r="E30" s="83">
        <v>147</v>
      </c>
      <c r="F30" s="81" t="str">
        <f t="shared" ref="F30:F32" si="9">IF(D30&gt;E30,"합격","불합격")</f>
        <v>합격</v>
      </c>
    </row>
    <row r="31" spans="1:49" ht="18" customHeight="1">
      <c r="A31" s="85">
        <f t="shared" si="6"/>
        <v>28</v>
      </c>
      <c r="B31" s="134">
        <v>46174</v>
      </c>
      <c r="C31" s="158" t="s">
        <v>114</v>
      </c>
      <c r="D31" s="78">
        <f>'28'!K14</f>
        <v>198.4</v>
      </c>
      <c r="E31" s="83">
        <v>147</v>
      </c>
      <c r="F31" s="81" t="str">
        <f t="shared" si="9"/>
        <v>합격</v>
      </c>
    </row>
    <row r="32" spans="1:49" ht="18" customHeight="1">
      <c r="A32" s="85">
        <f t="shared" si="6"/>
        <v>29</v>
      </c>
      <c r="B32" s="134">
        <v>46174</v>
      </c>
      <c r="C32" s="158" t="s">
        <v>115</v>
      </c>
      <c r="D32" s="78">
        <f>'29'!K14</f>
        <v>203.2</v>
      </c>
      <c r="E32" s="83">
        <v>147</v>
      </c>
      <c r="F32" s="81" t="str">
        <f t="shared" si="9"/>
        <v>합격</v>
      </c>
    </row>
    <row r="33" spans="1:6" ht="18" customHeight="1">
      <c r="A33" s="85">
        <f t="shared" si="6"/>
        <v>30</v>
      </c>
      <c r="B33" s="134">
        <v>46174</v>
      </c>
      <c r="C33" s="158" t="s">
        <v>116</v>
      </c>
      <c r="D33" s="78">
        <f>'30'!K14</f>
        <v>200.4</v>
      </c>
      <c r="E33" s="83">
        <v>147</v>
      </c>
      <c r="F33" s="81" t="str">
        <f t="shared" ref="F33:F41" si="10">IF(D33&gt;E33,"합격","불합격")</f>
        <v>합격</v>
      </c>
    </row>
    <row r="34" spans="1:6" ht="18" customHeight="1">
      <c r="A34" s="85">
        <f t="shared" ref="A34:A39" si="11">A33+1</f>
        <v>31</v>
      </c>
      <c r="B34" s="134">
        <v>46175</v>
      </c>
      <c r="C34" s="158" t="s">
        <v>117</v>
      </c>
      <c r="D34" s="78">
        <f>'31'!K14</f>
        <v>199.6</v>
      </c>
      <c r="E34" s="83">
        <v>147</v>
      </c>
      <c r="F34" s="81" t="str">
        <f t="shared" si="10"/>
        <v>합격</v>
      </c>
    </row>
    <row r="35" spans="1:6" ht="18" customHeight="1">
      <c r="A35" s="85">
        <f t="shared" si="11"/>
        <v>32</v>
      </c>
      <c r="B35" s="134">
        <v>46175</v>
      </c>
      <c r="C35" s="158" t="s">
        <v>118</v>
      </c>
      <c r="D35" s="78">
        <f>'32'!K14</f>
        <v>200.8</v>
      </c>
      <c r="E35" s="83">
        <v>147</v>
      </c>
      <c r="F35" s="81" t="str">
        <f t="shared" si="10"/>
        <v>합격</v>
      </c>
    </row>
    <row r="36" spans="1:6" ht="18" customHeight="1">
      <c r="A36" s="85">
        <f t="shared" si="11"/>
        <v>33</v>
      </c>
      <c r="B36" s="134">
        <v>46177</v>
      </c>
      <c r="C36" s="158" t="s">
        <v>122</v>
      </c>
      <c r="D36" s="78">
        <f>'33'!K14</f>
        <v>212</v>
      </c>
      <c r="E36" s="83">
        <v>147</v>
      </c>
      <c r="F36" s="81" t="str">
        <f t="shared" ref="F36" si="12">IF(D36&gt;E36,"합격","불합격")</f>
        <v>합격</v>
      </c>
    </row>
    <row r="37" spans="1:6" ht="18" customHeight="1">
      <c r="A37" s="85">
        <f t="shared" si="11"/>
        <v>34</v>
      </c>
      <c r="B37" s="134">
        <v>46177</v>
      </c>
      <c r="C37" s="158" t="s">
        <v>123</v>
      </c>
      <c r="D37" s="78">
        <f>'34'!K14</f>
        <v>209.6</v>
      </c>
      <c r="E37" s="83">
        <v>147</v>
      </c>
      <c r="F37" s="81" t="str">
        <f t="shared" ref="F37" si="13">IF(D37&gt;E37,"합격","불합격")</f>
        <v>합격</v>
      </c>
    </row>
    <row r="38" spans="1:6" ht="18" customHeight="1">
      <c r="A38" s="85">
        <f>A37+1</f>
        <v>35</v>
      </c>
      <c r="B38" s="134">
        <v>46177</v>
      </c>
      <c r="C38" s="158" t="s">
        <v>119</v>
      </c>
      <c r="D38" s="78">
        <f>'35'!K14</f>
        <v>209.2</v>
      </c>
      <c r="E38" s="83">
        <v>147</v>
      </c>
      <c r="F38" s="81" t="str">
        <f t="shared" si="10"/>
        <v>합격</v>
      </c>
    </row>
    <row r="39" spans="1:6" ht="18" customHeight="1">
      <c r="A39" s="85">
        <f t="shared" si="11"/>
        <v>36</v>
      </c>
      <c r="B39" s="134">
        <v>46177</v>
      </c>
      <c r="C39" s="158" t="s">
        <v>120</v>
      </c>
      <c r="D39" s="78">
        <f>'36'!K14</f>
        <v>214</v>
      </c>
      <c r="E39" s="83">
        <v>147</v>
      </c>
      <c r="F39" s="81" t="str">
        <f t="shared" si="10"/>
        <v>합격</v>
      </c>
    </row>
    <row r="40" spans="1:6" ht="18" customHeight="1">
      <c r="A40" s="85">
        <f t="shared" ref="A40:A48" si="14">A39+1</f>
        <v>37</v>
      </c>
      <c r="B40" s="134">
        <v>46178</v>
      </c>
      <c r="C40" s="158" t="s">
        <v>121</v>
      </c>
      <c r="D40" s="78">
        <f>'37'!K14</f>
        <v>205.2</v>
      </c>
      <c r="E40" s="83">
        <v>147</v>
      </c>
      <c r="F40" s="81" t="str">
        <f t="shared" si="10"/>
        <v>합격</v>
      </c>
    </row>
    <row r="41" spans="1:6" ht="18" customHeight="1">
      <c r="A41" s="85">
        <f t="shared" si="14"/>
        <v>38</v>
      </c>
      <c r="B41" s="134">
        <v>46181</v>
      </c>
      <c r="C41" s="158" t="s">
        <v>124</v>
      </c>
      <c r="D41" s="78">
        <f>'38'!K14</f>
        <v>201</v>
      </c>
      <c r="E41" s="83">
        <v>147</v>
      </c>
      <c r="F41" s="81" t="str">
        <f t="shared" si="10"/>
        <v>합격</v>
      </c>
    </row>
    <row r="42" spans="1:6" ht="18" customHeight="1">
      <c r="A42" s="85">
        <f t="shared" si="14"/>
        <v>39</v>
      </c>
      <c r="B42" s="134">
        <v>46181</v>
      </c>
      <c r="C42" s="158" t="s">
        <v>125</v>
      </c>
      <c r="D42" s="78">
        <f>'39'!K14</f>
        <v>202.8</v>
      </c>
      <c r="E42" s="83">
        <v>147</v>
      </c>
      <c r="F42" s="81" t="str">
        <f t="shared" ref="F42:F43" si="15">IF(D42&gt;E42,"합격","불합격")</f>
        <v>합격</v>
      </c>
    </row>
    <row r="43" spans="1:6" ht="18" customHeight="1">
      <c r="A43" s="85">
        <f t="shared" si="14"/>
        <v>40</v>
      </c>
      <c r="B43" s="134">
        <v>46184</v>
      </c>
      <c r="C43" s="158" t="s">
        <v>126</v>
      </c>
      <c r="D43" s="78">
        <f>'40'!K14</f>
        <v>204.8</v>
      </c>
      <c r="E43" s="83">
        <v>147</v>
      </c>
      <c r="F43" s="81" t="str">
        <f t="shared" si="15"/>
        <v>합격</v>
      </c>
    </row>
    <row r="44" spans="1:6" ht="18" customHeight="1">
      <c r="A44" s="85">
        <f t="shared" si="14"/>
        <v>41</v>
      </c>
      <c r="B44" s="134">
        <v>46184</v>
      </c>
      <c r="C44" s="158" t="s">
        <v>127</v>
      </c>
      <c r="D44" s="78">
        <f>'41'!K14</f>
        <v>210.4</v>
      </c>
      <c r="E44" s="83">
        <v>147</v>
      </c>
      <c r="F44" s="81" t="str">
        <f t="shared" ref="F44:F45" si="16">IF(D44&gt;E44,"합격","불합격")</f>
        <v>합격</v>
      </c>
    </row>
    <row r="45" spans="1:6" ht="18" customHeight="1">
      <c r="A45" s="85">
        <f>A44+1</f>
        <v>42</v>
      </c>
      <c r="B45" s="134">
        <v>46189</v>
      </c>
      <c r="C45" s="158" t="s">
        <v>128</v>
      </c>
      <c r="D45" s="78">
        <f>'42'!K14</f>
        <v>213.2</v>
      </c>
      <c r="E45" s="83">
        <v>147</v>
      </c>
      <c r="F45" s="81" t="str">
        <f t="shared" si="16"/>
        <v>합격</v>
      </c>
    </row>
    <row r="46" spans="1:6" ht="18" customHeight="1">
      <c r="A46" s="85">
        <f t="shared" si="14"/>
        <v>43</v>
      </c>
      <c r="B46" s="134">
        <v>46189</v>
      </c>
      <c r="C46" s="158" t="s">
        <v>129</v>
      </c>
      <c r="D46" s="78">
        <f>'43'!K14</f>
        <v>211.2</v>
      </c>
      <c r="E46" s="83">
        <v>147</v>
      </c>
      <c r="F46" s="81" t="str">
        <f t="shared" ref="F46:F47" si="17">IF(D46&gt;E46,"합격","불합격")</f>
        <v>합격</v>
      </c>
    </row>
    <row r="47" spans="1:6" ht="18" customHeight="1">
      <c r="A47" s="85">
        <f>A46+1</f>
        <v>44</v>
      </c>
      <c r="B47" s="134">
        <v>46195</v>
      </c>
      <c r="C47" s="158" t="s">
        <v>130</v>
      </c>
      <c r="D47" s="78">
        <f>'44'!K14</f>
        <v>219.6</v>
      </c>
      <c r="E47" s="83">
        <v>147</v>
      </c>
      <c r="F47" s="81" t="str">
        <f t="shared" si="17"/>
        <v>합격</v>
      </c>
    </row>
    <row r="48" spans="1:6" ht="18" customHeight="1">
      <c r="A48" s="85">
        <f t="shared" si="14"/>
        <v>45</v>
      </c>
      <c r="B48" s="134">
        <v>46195</v>
      </c>
      <c r="C48" s="158" t="s">
        <v>131</v>
      </c>
      <c r="D48" s="78">
        <f>'45'!K14</f>
        <v>220.8</v>
      </c>
      <c r="E48" s="83">
        <v>147</v>
      </c>
      <c r="F48" s="81" t="str">
        <f t="shared" ref="F48:F50" si="18">IF(D48&gt;E48,"합격","불합격")</f>
        <v>합격</v>
      </c>
    </row>
    <row r="49" spans="1:6" ht="18" customHeight="1">
      <c r="A49" s="85">
        <f>A48+1</f>
        <v>46</v>
      </c>
      <c r="B49" s="134">
        <v>46199</v>
      </c>
      <c r="C49" s="158" t="s">
        <v>132</v>
      </c>
      <c r="D49" s="78">
        <f>'46'!K14</f>
        <v>230.4</v>
      </c>
      <c r="E49" s="83">
        <v>147</v>
      </c>
      <c r="F49" s="81" t="str">
        <f t="shared" si="18"/>
        <v>합격</v>
      </c>
    </row>
    <row r="50" spans="1:6" ht="18" customHeight="1">
      <c r="A50" s="85">
        <f>A49+1</f>
        <v>47</v>
      </c>
      <c r="B50" s="134">
        <v>46199</v>
      </c>
      <c r="C50" s="158" t="s">
        <v>133</v>
      </c>
      <c r="D50" s="78">
        <f>'47'!K14</f>
        <v>224.8</v>
      </c>
      <c r="E50" s="83">
        <v>147</v>
      </c>
      <c r="F50" s="81" t="str">
        <f t="shared" si="18"/>
        <v>합격</v>
      </c>
    </row>
    <row r="51" spans="1:6" ht="18" customHeight="1">
      <c r="A51" s="85">
        <f t="shared" ref="A51:A52" si="19">A50+1</f>
        <v>48</v>
      </c>
      <c r="B51" s="134">
        <v>46217</v>
      </c>
      <c r="C51" s="158" t="s">
        <v>134</v>
      </c>
      <c r="D51" s="78">
        <f>'48'!K14</f>
        <v>230.8</v>
      </c>
      <c r="E51" s="83">
        <v>147</v>
      </c>
      <c r="F51" s="81" t="str">
        <f t="shared" ref="F51" si="20">IF(D51&gt;E51,"합격","불합격")</f>
        <v>합격</v>
      </c>
    </row>
    <row r="52" spans="1:6" ht="18" customHeight="1">
      <c r="A52" s="85">
        <f t="shared" si="19"/>
        <v>49</v>
      </c>
      <c r="B52" s="134">
        <v>46217</v>
      </c>
      <c r="C52" s="158" t="s">
        <v>135</v>
      </c>
      <c r="D52" s="78">
        <f>'49'!K14</f>
        <v>228.4</v>
      </c>
      <c r="E52" s="83">
        <v>147</v>
      </c>
      <c r="F52" s="81" t="str">
        <f t="shared" ref="F52" si="21">IF(D52&gt;E52,"합격","불합격")</f>
        <v>합격</v>
      </c>
    </row>
    <row r="53" spans="1:6" ht="18" customHeight="1" thickBot="1">
      <c r="A53" s="86"/>
      <c r="B53" s="134"/>
      <c r="C53" s="134">
        <v>7</v>
      </c>
      <c r="D53" s="82"/>
      <c r="E53" s="84"/>
      <c r="F53" s="87"/>
    </row>
    <row r="54" spans="1:6">
      <c r="A54" s="3"/>
      <c r="B54" s="3"/>
      <c r="C54" s="3">
        <v>5</v>
      </c>
    </row>
    <row r="56" spans="1:6">
      <c r="C56" s="3">
        <v>5</v>
      </c>
    </row>
    <row r="57" spans="1:6">
      <c r="C57" s="3">
        <v>6</v>
      </c>
    </row>
    <row r="58" spans="1:6">
      <c r="C58" s="3">
        <v>7</v>
      </c>
    </row>
    <row r="59" spans="1:6">
      <c r="C59" s="3">
        <v>8</v>
      </c>
    </row>
    <row r="60" spans="1:6">
      <c r="C60" s="3">
        <v>9</v>
      </c>
    </row>
    <row r="61" spans="1:6">
      <c r="C61" s="3">
        <v>10</v>
      </c>
    </row>
    <row r="62" spans="1:6">
      <c r="C62" s="3">
        <v>11</v>
      </c>
    </row>
    <row r="63" spans="1:6">
      <c r="C63" s="3">
        <v>12</v>
      </c>
    </row>
    <row r="64" spans="1:6">
      <c r="C64" s="3">
        <v>13</v>
      </c>
    </row>
    <row r="65" spans="3:3">
      <c r="C65" s="3">
        <v>14</v>
      </c>
    </row>
  </sheetData>
  <autoFilter ref="A3:F54" xr:uid="{00000000-0001-0000-0100-000000000000}"/>
  <mergeCells count="24">
    <mergeCell ref="AT2:AU2"/>
    <mergeCell ref="AV2:AW2"/>
    <mergeCell ref="AH2:AI2"/>
    <mergeCell ref="AJ2:AK2"/>
    <mergeCell ref="AL2:AM2"/>
    <mergeCell ref="AN2:AO2"/>
    <mergeCell ref="AP2:AQ2"/>
    <mergeCell ref="AR2:AS2"/>
    <mergeCell ref="A1:F1"/>
    <mergeCell ref="A2:F2"/>
    <mergeCell ref="H2:I2"/>
    <mergeCell ref="H1:I1"/>
    <mergeCell ref="AF2:A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honeticPr fontId="3" type="noConversion"/>
  <printOptions horizontalCentered="1" verticalCentered="1"/>
  <pageMargins left="0.70866141732283472" right="0.4724409448818898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481F-9679-4356-82B3-5DCCFAF2A292}">
  <sheetPr>
    <tabColor rgb="FFFF0000"/>
  </sheetPr>
  <dimension ref="A1:T66"/>
  <sheetViews>
    <sheetView view="pageBreakPreview" topLeftCell="A7" zoomScale="115" zoomScaleNormal="100" zoomScaleSheetLayoutView="115" workbookViewId="0">
      <selection activeCell="L35" sqref="L35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List!B52</f>
        <v>46217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List!A52</f>
        <v>49</v>
      </c>
      <c r="C3" s="253"/>
      <c r="D3" s="253"/>
      <c r="E3" s="253"/>
      <c r="F3" s="45" t="s">
        <v>34</v>
      </c>
      <c r="G3" s="254" t="str">
        <f>List!C52</f>
        <v>중로(집) 3-16 (No.36 ~ No.50, 우측) 노체 21단(63층)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0.12</v>
      </c>
      <c r="E8" s="22">
        <v>0.13</v>
      </c>
      <c r="F8" s="150">
        <f>IFERROR((D8+E8)/2," ")</f>
        <v>0.125</v>
      </c>
      <c r="G8" s="23">
        <f>F8-F7</f>
        <v>0.125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0.23</v>
      </c>
      <c r="T8" s="133">
        <f>F8+Q8</f>
        <v>0.22500000000000001</v>
      </c>
    </row>
    <row r="9" spans="1:20" ht="14.25" customHeight="1" thickTop="1">
      <c r="A9" s="144">
        <f ca="1">A8+TIME(,RAND()*1+(1-0),RAND()*10+10)</f>
        <v>1.5625000000000001E-3</v>
      </c>
      <c r="B9" s="140">
        <f t="shared" ref="B9:B25" si="0">C9*0.07065</f>
        <v>4.9455</v>
      </c>
      <c r="C9" s="20">
        <v>70</v>
      </c>
      <c r="D9" s="149">
        <v>0.3</v>
      </c>
      <c r="E9" s="22">
        <v>0.28999999999999998</v>
      </c>
      <c r="F9" s="150">
        <f t="shared" ref="F9:F25" si="1">IFERROR((D9+E9)/2," ")</f>
        <v>0.29499999999999998</v>
      </c>
      <c r="G9" s="23">
        <f>F9-$F$7</f>
        <v>0.29499999999999998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0.39</v>
      </c>
      <c r="T9" s="133">
        <f t="shared" si="2"/>
        <v>0.39500000000000002</v>
      </c>
    </row>
    <row r="10" spans="1:20" ht="14.25" customHeight="1">
      <c r="A10" s="144">
        <f ca="1">A9+TIME(,RAND()*1+(1-0),RAND()*10+5)</f>
        <v>2.3726851851851851E-3</v>
      </c>
      <c r="B10" s="140">
        <f t="shared" si="0"/>
        <v>7.4182500000000005</v>
      </c>
      <c r="C10" s="20">
        <v>105</v>
      </c>
      <c r="D10" s="149">
        <v>0.57999999999999996</v>
      </c>
      <c r="E10" s="22">
        <v>0.49</v>
      </c>
      <c r="F10" s="150">
        <f t="shared" si="1"/>
        <v>0.53499999999999992</v>
      </c>
      <c r="G10" s="23">
        <f t="shared" ref="G10:G25" si="3">F10-$F$7</f>
        <v>0.53499999999999992</v>
      </c>
      <c r="H10" s="217"/>
      <c r="I10" s="218"/>
      <c r="J10" s="219"/>
      <c r="K10" s="24" t="s">
        <v>15</v>
      </c>
      <c r="L10" s="25">
        <v>0</v>
      </c>
      <c r="M10" s="62">
        <f>K13</f>
        <v>571</v>
      </c>
      <c r="N10" s="2"/>
      <c r="P10" s="3">
        <v>0.1</v>
      </c>
      <c r="Q10" s="3">
        <v>0.1</v>
      </c>
      <c r="S10" s="133">
        <f t="shared" si="2"/>
        <v>0.59</v>
      </c>
      <c r="T10" s="133">
        <f t="shared" si="2"/>
        <v>0.6349999999999999</v>
      </c>
    </row>
    <row r="11" spans="1:20" ht="14.25" customHeight="1" thickBot="1">
      <c r="A11" s="144">
        <f ca="1">A10+TIME(,RAND()*1+(1-0),RAND()*10+5)</f>
        <v>3.1365740740740742E-3</v>
      </c>
      <c r="B11" s="140">
        <f t="shared" si="0"/>
        <v>9.891</v>
      </c>
      <c r="C11" s="20">
        <v>140</v>
      </c>
      <c r="D11" s="149">
        <v>0.77</v>
      </c>
      <c r="E11" s="22">
        <v>0.72</v>
      </c>
      <c r="F11" s="150">
        <f t="shared" si="1"/>
        <v>0.745</v>
      </c>
      <c r="G11" s="23">
        <f t="shared" si="3"/>
        <v>0.745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0.82</v>
      </c>
      <c r="T11" s="133">
        <f t="shared" si="2"/>
        <v>0.84499999999999997</v>
      </c>
    </row>
    <row r="12" spans="1:20" ht="14.25" customHeight="1" thickTop="1">
      <c r="A12" s="144">
        <f ca="1">A11+TIME(,RAND()*1+(1-0),RAND()*10+10)</f>
        <v>4.0162037037037041E-3</v>
      </c>
      <c r="B12" s="140">
        <f t="shared" si="0"/>
        <v>12.363750000000001</v>
      </c>
      <c r="C12" s="20">
        <v>175</v>
      </c>
      <c r="D12" s="149">
        <v>0.92</v>
      </c>
      <c r="E12" s="22">
        <v>0.9</v>
      </c>
      <c r="F12" s="150">
        <f t="shared" si="1"/>
        <v>0.91</v>
      </c>
      <c r="G12" s="23">
        <f t="shared" si="3"/>
        <v>0.91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</v>
      </c>
      <c r="T12" s="133">
        <f t="shared" si="2"/>
        <v>1.01</v>
      </c>
    </row>
    <row r="13" spans="1:20" ht="14.25" customHeight="1">
      <c r="A13" s="144">
        <f ca="1">A12+TIME(,RAND()*1+(1-0),RAND()*10+10)</f>
        <v>4.8842592592592601E-3</v>
      </c>
      <c r="B13" s="140">
        <f t="shared" si="0"/>
        <v>14.836500000000001</v>
      </c>
      <c r="C13" s="20">
        <v>210</v>
      </c>
      <c r="D13" s="149">
        <v>1.07</v>
      </c>
      <c r="E13" s="22">
        <v>1.03</v>
      </c>
      <c r="F13" s="150">
        <f t="shared" si="1"/>
        <v>1.05</v>
      </c>
      <c r="G13" s="23">
        <f t="shared" si="3"/>
        <v>1.05</v>
      </c>
      <c r="H13" s="217" t="s">
        <v>16</v>
      </c>
      <c r="I13" s="218"/>
      <c r="J13" s="219" t="s">
        <v>23</v>
      </c>
      <c r="K13" s="30">
        <v>571</v>
      </c>
      <c r="L13" s="25">
        <f>M10</f>
        <v>571</v>
      </c>
      <c r="M13" s="26">
        <f>L13</f>
        <v>571</v>
      </c>
      <c r="N13" s="2"/>
      <c r="P13" s="3">
        <v>0.1</v>
      </c>
      <c r="Q13" s="3">
        <v>0.1</v>
      </c>
      <c r="S13" s="133">
        <f t="shared" si="2"/>
        <v>1.1300000000000001</v>
      </c>
      <c r="T13" s="133">
        <f t="shared" si="2"/>
        <v>1.1500000000000001</v>
      </c>
    </row>
    <row r="14" spans="1:20" ht="14.25" customHeight="1" thickBot="1">
      <c r="A14" s="144">
        <f ca="1">A13+TIME(,RAND()*1+(1-0),RAND()*10+10)</f>
        <v>5.7407407407407416E-3</v>
      </c>
      <c r="B14" s="140">
        <f t="shared" si="0"/>
        <v>17.309250000000002</v>
      </c>
      <c r="C14" s="20">
        <v>245</v>
      </c>
      <c r="D14" s="149">
        <v>1.19</v>
      </c>
      <c r="E14" s="22">
        <v>1.1200000000000001</v>
      </c>
      <c r="F14" s="150">
        <f t="shared" si="1"/>
        <v>1.155</v>
      </c>
      <c r="G14" s="23">
        <f t="shared" si="3"/>
        <v>1.155</v>
      </c>
      <c r="H14" s="217"/>
      <c r="I14" s="218"/>
      <c r="J14" s="219"/>
      <c r="K14" s="17">
        <f>K13/2.5</f>
        <v>228.4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1.2200000000000002</v>
      </c>
      <c r="T14" s="133">
        <f t="shared" si="2"/>
        <v>1.2550000000000001</v>
      </c>
    </row>
    <row r="15" spans="1:20" ht="14.25" customHeight="1" thickTop="1" thickBot="1">
      <c r="A15" s="144">
        <f ca="1">A14+TIME(,RAND()*1+(1-0),RAND()*10+10)</f>
        <v>6.6087962962962966E-3</v>
      </c>
      <c r="B15" s="140">
        <f t="shared" si="0"/>
        <v>19.782</v>
      </c>
      <c r="C15" s="20">
        <v>280</v>
      </c>
      <c r="D15" s="149">
        <v>1.29</v>
      </c>
      <c r="E15" s="22">
        <v>1.28</v>
      </c>
      <c r="F15" s="150">
        <f t="shared" si="1"/>
        <v>1.2850000000000001</v>
      </c>
      <c r="G15" s="23">
        <f t="shared" si="3"/>
        <v>1.2850000000000001</v>
      </c>
      <c r="H15" s="217" t="s">
        <v>16</v>
      </c>
      <c r="I15" s="218"/>
      <c r="J15" s="220" t="s">
        <v>27</v>
      </c>
      <c r="K15" s="2">
        <f>ROUND(K14,1)*1.3</f>
        <v>296.92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1.3800000000000001</v>
      </c>
      <c r="T15" s="133">
        <f t="shared" si="2"/>
        <v>1.3850000000000002</v>
      </c>
    </row>
    <row r="16" spans="1:20" ht="14.25" customHeight="1">
      <c r="A16" s="144">
        <f ca="1">A15+TIME(,RAND()*1+(1-0),RAND()*10+10)</f>
        <v>7.4652777777777781E-3</v>
      </c>
      <c r="B16" s="140">
        <f t="shared" si="0"/>
        <v>22.254750000000001</v>
      </c>
      <c r="C16" s="20">
        <v>315</v>
      </c>
      <c r="D16" s="149">
        <v>1.42</v>
      </c>
      <c r="E16" s="22">
        <v>1.4</v>
      </c>
      <c r="F16" s="150">
        <f t="shared" si="1"/>
        <v>1.41</v>
      </c>
      <c r="G16" s="23">
        <f t="shared" si="3"/>
        <v>1.41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5" ca="1" si="4">A16+TIME(,RAND()*1+(1-0),RAND()*10+10)</f>
        <v>8.3101851851851861E-3</v>
      </c>
      <c r="B17" s="140">
        <f t="shared" si="0"/>
        <v>24.727500000000003</v>
      </c>
      <c r="C17" s="20">
        <v>350</v>
      </c>
      <c r="D17" s="149">
        <v>1.67</v>
      </c>
      <c r="E17" s="22">
        <v>1.52</v>
      </c>
      <c r="F17" s="150">
        <f t="shared" si="1"/>
        <v>1.595</v>
      </c>
      <c r="G17" s="23">
        <f t="shared" si="3"/>
        <v>1.595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9.1550925925925931E-3</v>
      </c>
      <c r="B18" s="140">
        <f t="shared" si="0"/>
        <v>27.20025</v>
      </c>
      <c r="C18" s="20">
        <v>385</v>
      </c>
      <c r="D18" s="149">
        <v>1.83</v>
      </c>
      <c r="E18" s="22">
        <v>1.66</v>
      </c>
      <c r="F18" s="150">
        <f t="shared" si="1"/>
        <v>1.7450000000000001</v>
      </c>
      <c r="G18" s="23">
        <f t="shared" si="3"/>
        <v>1.7450000000000001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9.9884259259259266E-3</v>
      </c>
      <c r="B19" s="140">
        <f t="shared" si="0"/>
        <v>29.673000000000002</v>
      </c>
      <c r="C19" s="20">
        <v>420</v>
      </c>
      <c r="D19" s="149">
        <v>2.0699999999999998</v>
      </c>
      <c r="E19" s="22">
        <v>1.79</v>
      </c>
      <c r="F19" s="150">
        <f t="shared" si="1"/>
        <v>1.93</v>
      </c>
      <c r="G19" s="23">
        <f t="shared" si="3"/>
        <v>1.93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1.0856481481481483E-2</v>
      </c>
      <c r="B20" s="140">
        <f t="shared" si="0"/>
        <v>32.14575</v>
      </c>
      <c r="C20" s="20">
        <v>455</v>
      </c>
      <c r="D20" s="149">
        <v>2.2000000000000002</v>
      </c>
      <c r="E20" s="22">
        <v>1.9</v>
      </c>
      <c r="F20" s="150">
        <f t="shared" si="1"/>
        <v>2.0499999999999998</v>
      </c>
      <c r="G20" s="23">
        <f t="shared" si="3"/>
        <v>2.0499999999999998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1.170138888888889E-2</v>
      </c>
      <c r="B21" s="140">
        <f t="shared" si="0"/>
        <v>34.618500000000004</v>
      </c>
      <c r="C21" s="20">
        <v>490</v>
      </c>
      <c r="D21" s="149">
        <v>2.33</v>
      </c>
      <c r="E21" s="22">
        <v>2.0299999999999998</v>
      </c>
      <c r="F21" s="150">
        <f t="shared" si="1"/>
        <v>2.1799999999999997</v>
      </c>
      <c r="G21" s="23">
        <f t="shared" si="3"/>
        <v>2.1799999999999997</v>
      </c>
      <c r="H21" s="204" t="str">
        <f>"K30  = "&amp;ROUND(K13,1)&amp;"÷2.5"</f>
        <v>K30  = 571÷2.5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1.2534722222222223E-2</v>
      </c>
      <c r="B22" s="140">
        <f t="shared" si="0"/>
        <v>37.091250000000002</v>
      </c>
      <c r="C22" s="20">
        <v>525</v>
      </c>
      <c r="D22" s="149">
        <v>2.5589999999999997</v>
      </c>
      <c r="E22" s="22">
        <v>2.14</v>
      </c>
      <c r="F22" s="150">
        <f t="shared" si="1"/>
        <v>2.3494999999999999</v>
      </c>
      <c r="G22" s="23">
        <f t="shared" si="3"/>
        <v>2.3494999999999999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1.3391203703703704E-2</v>
      </c>
      <c r="B23" s="140">
        <f t="shared" si="0"/>
        <v>39.564</v>
      </c>
      <c r="C23" s="20">
        <v>560</v>
      </c>
      <c r="D23" s="149">
        <v>2.7</v>
      </c>
      <c r="E23" s="22">
        <v>2.2200000000000002</v>
      </c>
      <c r="F23" s="150">
        <f t="shared" si="1"/>
        <v>2.46</v>
      </c>
      <c r="G23" s="23">
        <f t="shared" si="3"/>
        <v>2.46</v>
      </c>
      <c r="H23" s="212">
        <f>K14</f>
        <v>228.4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4">
        <f t="shared" ca="1" si="4"/>
        <v>1.4201388888888888E-2</v>
      </c>
      <c r="B24" s="140">
        <f t="shared" si="0"/>
        <v>42.036750000000005</v>
      </c>
      <c r="C24" s="20">
        <v>595</v>
      </c>
      <c r="D24" s="149">
        <v>2.79</v>
      </c>
      <c r="E24" s="22">
        <v>2.39</v>
      </c>
      <c r="F24" s="151">
        <f t="shared" si="1"/>
        <v>2.59</v>
      </c>
      <c r="G24" s="23">
        <f t="shared" si="3"/>
        <v>2.59</v>
      </c>
      <c r="H24" s="212"/>
      <c r="I24" s="212"/>
      <c r="J24" s="213"/>
      <c r="K24" s="2"/>
      <c r="L24" s="2"/>
      <c r="M24" s="2"/>
      <c r="N24" s="2"/>
    </row>
    <row r="25" spans="1:14" ht="14.25" customHeight="1">
      <c r="A25" s="164">
        <f t="shared" ca="1" si="4"/>
        <v>1.5081018518518518E-2</v>
      </c>
      <c r="B25" s="163">
        <f t="shared" si="0"/>
        <v>44.509500000000003</v>
      </c>
      <c r="C25" s="48">
        <v>630</v>
      </c>
      <c r="D25" s="152">
        <v>2.85</v>
      </c>
      <c r="E25" s="153">
        <v>2.48</v>
      </c>
      <c r="F25" s="154">
        <f t="shared" si="1"/>
        <v>2.665</v>
      </c>
      <c r="G25" s="49">
        <f t="shared" si="3"/>
        <v>2.665</v>
      </c>
      <c r="H25" s="61"/>
      <c r="J25" s="69"/>
      <c r="K25" s="2"/>
      <c r="L25" s="2"/>
      <c r="M25" s="16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228.4×1.3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296.92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228.4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83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2C08-FB9C-4A47-AE1B-B30F33D4144F}">
  <sheetPr>
    <tabColor rgb="FFFF0000"/>
  </sheetPr>
  <dimension ref="A1:T66"/>
  <sheetViews>
    <sheetView tabSelected="1" view="pageBreakPreview" zoomScale="115" zoomScaleNormal="100" zoomScaleSheetLayoutView="115" workbookViewId="0">
      <selection activeCell="M26" sqref="M26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List!B51</f>
        <v>46217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List!A51</f>
        <v>48</v>
      </c>
      <c r="C3" s="253"/>
      <c r="D3" s="253"/>
      <c r="E3" s="253"/>
      <c r="F3" s="45" t="s">
        <v>34</v>
      </c>
      <c r="G3" s="254" t="str">
        <f>List!C51</f>
        <v>중로(집) 3-16 (No.36 ~ No.50, 좌측) 노체 21단(63층)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0.32</v>
      </c>
      <c r="E8" s="22">
        <v>0.35</v>
      </c>
      <c r="F8" s="150">
        <f>IFERROR((D8+E8)/2," ")</f>
        <v>0.33499999999999996</v>
      </c>
      <c r="G8" s="23">
        <f>F8-F7</f>
        <v>0.33499999999999996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0.44999999999999996</v>
      </c>
      <c r="T8" s="133">
        <f>F8+Q8</f>
        <v>0.43499999999999994</v>
      </c>
    </row>
    <row r="9" spans="1:20" ht="14.25" customHeight="1" thickTop="1">
      <c r="A9" s="144">
        <f ca="1">A8+TIME(,RAND()*1+(1-0),RAND()*10+10)</f>
        <v>1.6666666666666666E-3</v>
      </c>
      <c r="B9" s="140">
        <f t="shared" ref="B9:B24" si="0">C9*0.07065</f>
        <v>4.9455</v>
      </c>
      <c r="C9" s="20">
        <v>70</v>
      </c>
      <c r="D9" s="149">
        <v>0.55000000000000004</v>
      </c>
      <c r="E9" s="22">
        <v>0.56999999999999995</v>
      </c>
      <c r="F9" s="150">
        <f t="shared" ref="F9:F25" si="1">IFERROR((D9+E9)/2," ")</f>
        <v>0.56000000000000005</v>
      </c>
      <c r="G9" s="23">
        <f>F9-$F$7</f>
        <v>0.56000000000000005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0.66999999999999993</v>
      </c>
      <c r="T9" s="133">
        <f t="shared" si="2"/>
        <v>0.66</v>
      </c>
    </row>
    <row r="10" spans="1:20" ht="14.25" customHeight="1">
      <c r="A10" s="144">
        <f ca="1">A9+TIME(,RAND()*1+(1-0),RAND()*10+5)</f>
        <v>2.5115740740740741E-3</v>
      </c>
      <c r="B10" s="140">
        <f t="shared" si="0"/>
        <v>7.4182500000000005</v>
      </c>
      <c r="C10" s="20">
        <v>105</v>
      </c>
      <c r="D10" s="149">
        <v>0.68</v>
      </c>
      <c r="E10" s="22">
        <v>0.7</v>
      </c>
      <c r="F10" s="150">
        <f t="shared" si="1"/>
        <v>0.69</v>
      </c>
      <c r="G10" s="23">
        <f t="shared" ref="G10:G25" si="3">F10-$F$7</f>
        <v>0.69</v>
      </c>
      <c r="H10" s="217"/>
      <c r="I10" s="218"/>
      <c r="J10" s="219"/>
      <c r="K10" s="24" t="s">
        <v>15</v>
      </c>
      <c r="L10" s="25">
        <v>0</v>
      </c>
      <c r="M10" s="62">
        <f>K13</f>
        <v>577</v>
      </c>
      <c r="N10" s="2"/>
      <c r="P10" s="3">
        <v>0.1</v>
      </c>
      <c r="Q10" s="3">
        <v>0.1</v>
      </c>
      <c r="S10" s="133">
        <f t="shared" si="2"/>
        <v>0.79999999999999993</v>
      </c>
      <c r="T10" s="133">
        <f t="shared" si="2"/>
        <v>0.78999999999999992</v>
      </c>
    </row>
    <row r="11" spans="1:20" ht="14.25" customHeight="1" thickBot="1">
      <c r="A11" s="144">
        <f ca="1">A10+TIME(,RAND()*1+(1-0),RAND()*10+5)</f>
        <v>3.3680555555555556E-3</v>
      </c>
      <c r="B11" s="140">
        <f t="shared" si="0"/>
        <v>9.891</v>
      </c>
      <c r="C11" s="20">
        <v>140</v>
      </c>
      <c r="D11" s="149">
        <v>0.78</v>
      </c>
      <c r="E11" s="22">
        <v>0.81</v>
      </c>
      <c r="F11" s="150">
        <f t="shared" si="1"/>
        <v>0.79500000000000004</v>
      </c>
      <c r="G11" s="23">
        <f t="shared" si="3"/>
        <v>0.79500000000000004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0.91</v>
      </c>
      <c r="T11" s="133">
        <f t="shared" si="2"/>
        <v>0.89500000000000002</v>
      </c>
    </row>
    <row r="12" spans="1:20" ht="14.25" customHeight="1" thickTop="1">
      <c r="A12" s="144">
        <f ca="1">A11+TIME(,RAND()*1+(1-0),RAND()*10+10)</f>
        <v>4.2129629629629626E-3</v>
      </c>
      <c r="B12" s="140">
        <f t="shared" si="0"/>
        <v>12.363750000000001</v>
      </c>
      <c r="C12" s="20">
        <v>175</v>
      </c>
      <c r="D12" s="149">
        <v>0.87</v>
      </c>
      <c r="E12" s="22">
        <v>0.98</v>
      </c>
      <c r="F12" s="150">
        <f t="shared" si="1"/>
        <v>0.92500000000000004</v>
      </c>
      <c r="G12" s="23">
        <f t="shared" si="3"/>
        <v>0.92500000000000004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1.08</v>
      </c>
      <c r="T12" s="133">
        <f t="shared" si="2"/>
        <v>1.0250000000000001</v>
      </c>
    </row>
    <row r="13" spans="1:20" ht="14.25" customHeight="1">
      <c r="A13" s="144">
        <f ca="1">A12+TIME(,RAND()*1+(1-0),RAND()*10+10)</f>
        <v>5.0231481481481481E-3</v>
      </c>
      <c r="B13" s="140">
        <f t="shared" si="0"/>
        <v>14.836500000000001</v>
      </c>
      <c r="C13" s="20">
        <v>210</v>
      </c>
      <c r="D13" s="149">
        <v>1</v>
      </c>
      <c r="E13" s="22">
        <v>1.07</v>
      </c>
      <c r="F13" s="150">
        <f t="shared" si="1"/>
        <v>1.0350000000000001</v>
      </c>
      <c r="G13" s="23">
        <f t="shared" si="3"/>
        <v>1.0350000000000001</v>
      </c>
      <c r="H13" s="217" t="s">
        <v>16</v>
      </c>
      <c r="I13" s="218"/>
      <c r="J13" s="219" t="s">
        <v>23</v>
      </c>
      <c r="K13" s="30">
        <v>577</v>
      </c>
      <c r="L13" s="25">
        <f>M10</f>
        <v>577</v>
      </c>
      <c r="M13" s="26">
        <f>L13</f>
        <v>577</v>
      </c>
      <c r="N13" s="2"/>
      <c r="P13" s="3">
        <v>0.1</v>
      </c>
      <c r="Q13" s="3">
        <v>0.1</v>
      </c>
      <c r="S13" s="133">
        <f t="shared" si="2"/>
        <v>1.1700000000000002</v>
      </c>
      <c r="T13" s="133">
        <f t="shared" si="2"/>
        <v>1.1350000000000002</v>
      </c>
    </row>
    <row r="14" spans="1:20" ht="14.25" customHeight="1" thickBot="1">
      <c r="A14" s="144">
        <f ca="1">A13+TIME(,RAND()*1+(1-0),RAND()*10+10)</f>
        <v>5.8449074074074072E-3</v>
      </c>
      <c r="B14" s="140">
        <f t="shared" si="0"/>
        <v>17.309250000000002</v>
      </c>
      <c r="C14" s="20">
        <v>245</v>
      </c>
      <c r="D14" s="149">
        <v>1.1100000000000001</v>
      </c>
      <c r="E14" s="22">
        <v>1.26</v>
      </c>
      <c r="F14" s="150">
        <f t="shared" si="1"/>
        <v>1.1850000000000001</v>
      </c>
      <c r="G14" s="23">
        <f t="shared" si="3"/>
        <v>1.1850000000000001</v>
      </c>
      <c r="H14" s="217"/>
      <c r="I14" s="218"/>
      <c r="J14" s="219"/>
      <c r="K14" s="17">
        <f>K13/2.5</f>
        <v>230.8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1.36</v>
      </c>
      <c r="T14" s="133">
        <f t="shared" si="2"/>
        <v>1.2850000000000001</v>
      </c>
    </row>
    <row r="15" spans="1:20" ht="14.25" customHeight="1" thickTop="1" thickBot="1">
      <c r="A15" s="144">
        <f ca="1">A14+TIME(,RAND()*1+(1-0),RAND()*10+10)</f>
        <v>6.7361111111111111E-3</v>
      </c>
      <c r="B15" s="140">
        <f t="shared" si="0"/>
        <v>19.782</v>
      </c>
      <c r="C15" s="20">
        <v>280</v>
      </c>
      <c r="D15" s="149">
        <v>1.22</v>
      </c>
      <c r="E15" s="22">
        <v>1.38</v>
      </c>
      <c r="F15" s="150">
        <f t="shared" si="1"/>
        <v>1.2999999999999998</v>
      </c>
      <c r="G15" s="23">
        <f t="shared" si="3"/>
        <v>1.2999999999999998</v>
      </c>
      <c r="H15" s="217" t="s">
        <v>16</v>
      </c>
      <c r="I15" s="218"/>
      <c r="J15" s="220" t="s">
        <v>27</v>
      </c>
      <c r="K15" s="2">
        <f>ROUND(K14,1)*1.3</f>
        <v>300.04000000000002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1.48</v>
      </c>
      <c r="T15" s="133">
        <f t="shared" si="2"/>
        <v>1.4</v>
      </c>
    </row>
    <row r="16" spans="1:20" ht="14.25" customHeight="1">
      <c r="A16" s="144">
        <f ca="1">A15+TIME(,RAND()*1+(1-0),RAND()*10+10)</f>
        <v>7.5810185185185182E-3</v>
      </c>
      <c r="B16" s="140">
        <f t="shared" si="0"/>
        <v>22.254750000000001</v>
      </c>
      <c r="C16" s="20">
        <v>315</v>
      </c>
      <c r="D16" s="149">
        <v>1.33</v>
      </c>
      <c r="E16" s="22">
        <v>1.52</v>
      </c>
      <c r="F16" s="150">
        <f t="shared" si="1"/>
        <v>1.425</v>
      </c>
      <c r="G16" s="23">
        <f t="shared" si="3"/>
        <v>1.425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5" ca="1" si="4">A16+TIME(,RAND()*1+(1-0),RAND()*10+10)</f>
        <v>8.4722222222222213E-3</v>
      </c>
      <c r="B17" s="140">
        <f t="shared" si="0"/>
        <v>24.727500000000003</v>
      </c>
      <c r="C17" s="20">
        <v>350</v>
      </c>
      <c r="D17" s="149">
        <v>1.46</v>
      </c>
      <c r="E17" s="22">
        <v>1.72</v>
      </c>
      <c r="F17" s="150">
        <f t="shared" si="1"/>
        <v>1.5899999999999999</v>
      </c>
      <c r="G17" s="23">
        <f t="shared" si="3"/>
        <v>1.5899999999999999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9.3171296296296283E-3</v>
      </c>
      <c r="B18" s="140">
        <f t="shared" si="0"/>
        <v>27.20025</v>
      </c>
      <c r="C18" s="20">
        <v>385</v>
      </c>
      <c r="D18" s="149">
        <v>1.55</v>
      </c>
      <c r="E18" s="22">
        <v>1.94</v>
      </c>
      <c r="F18" s="150">
        <f t="shared" si="1"/>
        <v>1.7450000000000001</v>
      </c>
      <c r="G18" s="23">
        <f t="shared" si="3"/>
        <v>1.7450000000000001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1.0208333333333331E-2</v>
      </c>
      <c r="B19" s="140">
        <f t="shared" si="0"/>
        <v>29.673000000000002</v>
      </c>
      <c r="C19" s="20">
        <v>420</v>
      </c>
      <c r="D19" s="149">
        <v>1.68</v>
      </c>
      <c r="E19" s="22">
        <v>2.0099999999999998</v>
      </c>
      <c r="F19" s="150">
        <f t="shared" si="1"/>
        <v>1.8449999999999998</v>
      </c>
      <c r="G19" s="23">
        <f t="shared" si="3"/>
        <v>1.8449999999999998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1.1018518518518516E-2</v>
      </c>
      <c r="B20" s="140">
        <f t="shared" si="0"/>
        <v>32.14575</v>
      </c>
      <c r="C20" s="20">
        <v>455</v>
      </c>
      <c r="D20" s="149">
        <v>1.78</v>
      </c>
      <c r="E20" s="22">
        <v>2.17</v>
      </c>
      <c r="F20" s="150">
        <f t="shared" si="1"/>
        <v>1.9750000000000001</v>
      </c>
      <c r="G20" s="23">
        <f t="shared" si="3"/>
        <v>1.9750000000000001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1.1909722222222219E-2</v>
      </c>
      <c r="B21" s="140">
        <f t="shared" si="0"/>
        <v>34.618500000000004</v>
      </c>
      <c r="C21" s="20">
        <v>490</v>
      </c>
      <c r="D21" s="149">
        <v>1.97</v>
      </c>
      <c r="E21" s="22">
        <v>2.2799999999999998</v>
      </c>
      <c r="F21" s="150">
        <f t="shared" si="1"/>
        <v>2.125</v>
      </c>
      <c r="G21" s="23">
        <f t="shared" si="3"/>
        <v>2.125</v>
      </c>
      <c r="H21" s="204" t="str">
        <f>"K30  = "&amp;ROUND(K13,1)&amp;"÷2.5"</f>
        <v>K30  = 577÷2.5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1.2719907407407404E-2</v>
      </c>
      <c r="B22" s="140">
        <f t="shared" si="0"/>
        <v>37.091250000000002</v>
      </c>
      <c r="C22" s="20">
        <v>525</v>
      </c>
      <c r="D22" s="149">
        <v>2.17</v>
      </c>
      <c r="E22" s="22">
        <v>2.4</v>
      </c>
      <c r="F22" s="150">
        <f t="shared" si="1"/>
        <v>2.2850000000000001</v>
      </c>
      <c r="G22" s="23">
        <f t="shared" si="3"/>
        <v>2.2850000000000001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1.3530092592592588E-2</v>
      </c>
      <c r="B23" s="140">
        <f t="shared" si="0"/>
        <v>39.564</v>
      </c>
      <c r="C23" s="20">
        <v>560</v>
      </c>
      <c r="D23" s="149">
        <v>2.29</v>
      </c>
      <c r="E23" s="22">
        <v>2.65</v>
      </c>
      <c r="F23" s="150">
        <f t="shared" si="1"/>
        <v>2.4699999999999998</v>
      </c>
      <c r="G23" s="23">
        <f t="shared" si="3"/>
        <v>2.4699999999999998</v>
      </c>
      <c r="H23" s="212">
        <f>K14</f>
        <v>230.8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4">
        <f t="shared" ca="1" si="4"/>
        <v>1.4363425925925922E-2</v>
      </c>
      <c r="B24" s="140">
        <f t="shared" si="0"/>
        <v>42.036750000000005</v>
      </c>
      <c r="C24" s="20">
        <v>595</v>
      </c>
      <c r="D24" s="149">
        <v>2.36</v>
      </c>
      <c r="E24" s="22">
        <v>2.78</v>
      </c>
      <c r="F24" s="151">
        <f t="shared" si="1"/>
        <v>2.57</v>
      </c>
      <c r="G24" s="23">
        <f t="shared" si="3"/>
        <v>2.57</v>
      </c>
      <c r="H24" s="212"/>
      <c r="I24" s="212"/>
      <c r="J24" s="213"/>
      <c r="K24" s="2"/>
      <c r="L24" s="2"/>
      <c r="M24" s="2"/>
      <c r="N24" s="2"/>
    </row>
    <row r="25" spans="1:14" ht="14.25" customHeight="1">
      <c r="A25" s="164">
        <f t="shared" ca="1" si="4"/>
        <v>1.5173611111111106E-2</v>
      </c>
      <c r="B25" s="163">
        <f>C25*0.07065</f>
        <v>44.509500000000003</v>
      </c>
      <c r="C25" s="48">
        <v>630</v>
      </c>
      <c r="D25" s="152">
        <v>2.48</v>
      </c>
      <c r="E25" s="153">
        <v>2.94</v>
      </c>
      <c r="F25" s="154">
        <f t="shared" si="1"/>
        <v>2.71</v>
      </c>
      <c r="G25" s="49">
        <f t="shared" si="3"/>
        <v>2.71</v>
      </c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230.8×1.3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300.04000000000002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230.8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83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C155-C13C-40DC-8288-E69FCA192FF6}">
  <dimension ref="A1:T66"/>
  <sheetViews>
    <sheetView view="pageBreakPreview" zoomScale="115" zoomScaleNormal="100" zoomScaleSheetLayoutView="115" workbookViewId="0">
      <selection activeCell="M23" sqref="M2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List!B50</f>
        <v>46199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List!A50</f>
        <v>47</v>
      </c>
      <c r="C3" s="253"/>
      <c r="D3" s="253"/>
      <c r="E3" s="253"/>
      <c r="F3" s="45" t="s">
        <v>34</v>
      </c>
      <c r="G3" s="254" t="str">
        <f>List!C50</f>
        <v>중로(집) 3-16 (No.36 ~ No.50) 노체 20단(60층) - 2회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0.2</v>
      </c>
      <c r="E8" s="22">
        <v>0.35</v>
      </c>
      <c r="F8" s="150">
        <f>IFERROR((D8+E8)/2," ")</f>
        <v>0.27500000000000002</v>
      </c>
      <c r="G8" s="23">
        <f>F8-F7</f>
        <v>0.27500000000000002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0.44999999999999996</v>
      </c>
      <c r="T8" s="133">
        <f>F8+Q8</f>
        <v>0.375</v>
      </c>
    </row>
    <row r="9" spans="1:20" ht="14.25" customHeight="1" thickTop="1">
      <c r="A9" s="144">
        <f ca="1">A8+TIME(,RAND()*1+(1-0),RAND()*10+10)</f>
        <v>1.6203703703703703E-3</v>
      </c>
      <c r="B9" s="140">
        <f t="shared" ref="B9:B25" si="0">C9*0.07065</f>
        <v>4.9455</v>
      </c>
      <c r="C9" s="20">
        <v>70</v>
      </c>
      <c r="D9" s="149">
        <v>0.3</v>
      </c>
      <c r="E9" s="22">
        <v>0.73</v>
      </c>
      <c r="F9" s="150">
        <f t="shared" ref="F9:F25" si="1">IFERROR((D9+E9)/2," ")</f>
        <v>0.51500000000000001</v>
      </c>
      <c r="G9" s="23">
        <f>F9-$F$7</f>
        <v>0.51500000000000001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0.83</v>
      </c>
      <c r="T9" s="133">
        <f t="shared" si="2"/>
        <v>0.61499999999999999</v>
      </c>
    </row>
    <row r="10" spans="1:20" ht="14.25" customHeight="1">
      <c r="A10" s="144">
        <f ca="1">A9+TIME(,RAND()*1+(1-0),RAND()*10+5)</f>
        <v>2.3958333333333331E-3</v>
      </c>
      <c r="B10" s="140">
        <f t="shared" si="0"/>
        <v>7.4182500000000005</v>
      </c>
      <c r="C10" s="20">
        <v>105</v>
      </c>
      <c r="D10" s="149">
        <v>0.69</v>
      </c>
      <c r="E10" s="22">
        <v>1.02</v>
      </c>
      <c r="F10" s="150">
        <f t="shared" si="1"/>
        <v>0.85499999999999998</v>
      </c>
      <c r="G10" s="23">
        <f t="shared" ref="G10:G25" si="3">F10-$F$7</f>
        <v>0.85499999999999998</v>
      </c>
      <c r="H10" s="217"/>
      <c r="I10" s="218"/>
      <c r="J10" s="219"/>
      <c r="K10" s="24" t="s">
        <v>15</v>
      </c>
      <c r="L10" s="25">
        <v>0</v>
      </c>
      <c r="M10" s="62">
        <f>K13</f>
        <v>562</v>
      </c>
      <c r="N10" s="2"/>
      <c r="P10" s="3">
        <v>0.1</v>
      </c>
      <c r="Q10" s="3">
        <v>0.1</v>
      </c>
      <c r="S10" s="133">
        <f t="shared" si="2"/>
        <v>1.1200000000000001</v>
      </c>
      <c r="T10" s="133">
        <f t="shared" si="2"/>
        <v>0.95499999999999996</v>
      </c>
    </row>
    <row r="11" spans="1:20" ht="14.25" customHeight="1" thickBot="1">
      <c r="A11" s="144">
        <f ca="1">A10+TIME(,RAND()*1+(1-0),RAND()*10+5)</f>
        <v>3.1828703703703702E-3</v>
      </c>
      <c r="B11" s="140">
        <f t="shared" si="0"/>
        <v>9.891</v>
      </c>
      <c r="C11" s="20">
        <v>140</v>
      </c>
      <c r="D11" s="149">
        <v>0.83</v>
      </c>
      <c r="E11" s="22">
        <v>1.1499999999999999</v>
      </c>
      <c r="F11" s="150">
        <f t="shared" si="1"/>
        <v>0.99</v>
      </c>
      <c r="G11" s="23">
        <f t="shared" si="3"/>
        <v>0.99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1.25</v>
      </c>
      <c r="T11" s="133">
        <f t="shared" si="2"/>
        <v>1.0900000000000001</v>
      </c>
    </row>
    <row r="12" spans="1:20" ht="14.25" customHeight="1" thickTop="1">
      <c r="A12" s="144">
        <f ca="1">A11+TIME(,RAND()*1+(1-0),RAND()*10+10)</f>
        <v>4.0046296296296297E-3</v>
      </c>
      <c r="B12" s="140">
        <f t="shared" si="0"/>
        <v>12.363750000000001</v>
      </c>
      <c r="C12" s="20">
        <v>175</v>
      </c>
      <c r="D12" s="149">
        <v>0.96</v>
      </c>
      <c r="E12" s="22">
        <v>1.28</v>
      </c>
      <c r="F12" s="150">
        <f t="shared" si="1"/>
        <v>1.1200000000000001</v>
      </c>
      <c r="G12" s="23">
        <f t="shared" si="3"/>
        <v>1.1200000000000001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1.3800000000000001</v>
      </c>
      <c r="T12" s="133">
        <f t="shared" si="2"/>
        <v>1.2200000000000002</v>
      </c>
    </row>
    <row r="13" spans="1:20" ht="14.25" customHeight="1">
      <c r="A13" s="144">
        <f ca="1">A12+TIME(,RAND()*1+(1-0),RAND()*10+10)</f>
        <v>4.8495370370370368E-3</v>
      </c>
      <c r="B13" s="140">
        <f t="shared" si="0"/>
        <v>14.836500000000001</v>
      </c>
      <c r="C13" s="20">
        <v>210</v>
      </c>
      <c r="D13" s="149">
        <v>1.1100000000000001</v>
      </c>
      <c r="E13" s="22">
        <v>1.39</v>
      </c>
      <c r="F13" s="150">
        <f t="shared" si="1"/>
        <v>1.25</v>
      </c>
      <c r="G13" s="23">
        <f t="shared" si="3"/>
        <v>1.25</v>
      </c>
      <c r="H13" s="217" t="s">
        <v>16</v>
      </c>
      <c r="I13" s="218"/>
      <c r="J13" s="219" t="s">
        <v>23</v>
      </c>
      <c r="K13" s="30">
        <v>562</v>
      </c>
      <c r="L13" s="25">
        <f>M10</f>
        <v>562</v>
      </c>
      <c r="M13" s="26">
        <f>L13</f>
        <v>562</v>
      </c>
      <c r="N13" s="2"/>
      <c r="P13" s="3">
        <v>0.1</v>
      </c>
      <c r="Q13" s="3">
        <v>0.1</v>
      </c>
      <c r="S13" s="133">
        <f t="shared" si="2"/>
        <v>1.49</v>
      </c>
      <c r="T13" s="133">
        <f t="shared" si="2"/>
        <v>1.35</v>
      </c>
    </row>
    <row r="14" spans="1:20" ht="14.25" customHeight="1" thickBot="1">
      <c r="A14" s="144">
        <f ca="1">A13+TIME(,RAND()*1+(1-0),RAND()*10+10)</f>
        <v>5.6597222222222222E-3</v>
      </c>
      <c r="B14" s="140">
        <f t="shared" si="0"/>
        <v>17.309250000000002</v>
      </c>
      <c r="C14" s="20">
        <v>245</v>
      </c>
      <c r="D14" s="149">
        <v>1.31</v>
      </c>
      <c r="E14" s="22">
        <v>1.52</v>
      </c>
      <c r="F14" s="150">
        <f t="shared" si="1"/>
        <v>1.415</v>
      </c>
      <c r="G14" s="23">
        <f t="shared" si="3"/>
        <v>1.415</v>
      </c>
      <c r="H14" s="217"/>
      <c r="I14" s="218"/>
      <c r="J14" s="219"/>
      <c r="K14" s="17">
        <f>K13/2.5</f>
        <v>224.8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1.62</v>
      </c>
      <c r="T14" s="133">
        <f t="shared" si="2"/>
        <v>1.5150000000000001</v>
      </c>
    </row>
    <row r="15" spans="1:20" ht="14.25" customHeight="1" thickTop="1" thickBot="1">
      <c r="A15" s="144">
        <f ca="1">A14+TIME(,RAND()*1+(1-0),RAND()*10+10)</f>
        <v>6.5046296296296293E-3</v>
      </c>
      <c r="B15" s="140">
        <f t="shared" si="0"/>
        <v>19.782</v>
      </c>
      <c r="C15" s="20">
        <v>280</v>
      </c>
      <c r="D15" s="149">
        <v>1.49</v>
      </c>
      <c r="E15" s="22">
        <v>1.64</v>
      </c>
      <c r="F15" s="150">
        <f t="shared" si="1"/>
        <v>1.5649999999999999</v>
      </c>
      <c r="G15" s="23">
        <f t="shared" si="3"/>
        <v>1.5649999999999999</v>
      </c>
      <c r="H15" s="217" t="s">
        <v>16</v>
      </c>
      <c r="I15" s="218"/>
      <c r="J15" s="220" t="s">
        <v>27</v>
      </c>
      <c r="K15" s="2">
        <f>ROUND(K14,1)*1.3</f>
        <v>292.24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1.74</v>
      </c>
      <c r="T15" s="133">
        <f t="shared" si="2"/>
        <v>1.665</v>
      </c>
    </row>
    <row r="16" spans="1:20" ht="14.25" customHeight="1">
      <c r="A16" s="144">
        <f ca="1">A15+TIME(,RAND()*1+(1-0),RAND()*10+10)</f>
        <v>7.4189814814814813E-3</v>
      </c>
      <c r="B16" s="140">
        <f t="shared" si="0"/>
        <v>22.254750000000001</v>
      </c>
      <c r="C16" s="20">
        <v>315</v>
      </c>
      <c r="D16" s="149">
        <v>1.57</v>
      </c>
      <c r="E16" s="22">
        <v>1.75</v>
      </c>
      <c r="F16" s="150">
        <f t="shared" si="1"/>
        <v>1.6600000000000001</v>
      </c>
      <c r="G16" s="23">
        <f t="shared" si="3"/>
        <v>1.6600000000000001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5" ca="1" si="4">A16+TIME(,RAND()*1+(1-0),RAND()*10+10)</f>
        <v>8.2986111111111108E-3</v>
      </c>
      <c r="B17" s="140">
        <f t="shared" si="0"/>
        <v>24.727500000000003</v>
      </c>
      <c r="C17" s="20">
        <v>350</v>
      </c>
      <c r="D17" s="149">
        <v>1.71</v>
      </c>
      <c r="E17" s="22">
        <v>1.87</v>
      </c>
      <c r="F17" s="150">
        <f t="shared" si="1"/>
        <v>1.79</v>
      </c>
      <c r="G17" s="23">
        <f t="shared" si="3"/>
        <v>1.79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9.1550925925925931E-3</v>
      </c>
      <c r="B18" s="140">
        <f t="shared" si="0"/>
        <v>27.20025</v>
      </c>
      <c r="C18" s="20">
        <v>385</v>
      </c>
      <c r="D18" s="149">
        <v>1.8</v>
      </c>
      <c r="E18" s="22">
        <v>2.0299999999999998</v>
      </c>
      <c r="F18" s="150">
        <f t="shared" si="1"/>
        <v>1.915</v>
      </c>
      <c r="G18" s="23">
        <f t="shared" si="3"/>
        <v>1.915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9.9652777777777778E-3</v>
      </c>
      <c r="B19" s="140">
        <f t="shared" si="0"/>
        <v>29.673000000000002</v>
      </c>
      <c r="C19" s="20">
        <v>420</v>
      </c>
      <c r="D19" s="149">
        <v>1.94</v>
      </c>
      <c r="E19" s="22">
        <v>2.14</v>
      </c>
      <c r="F19" s="150">
        <f t="shared" si="1"/>
        <v>2.04</v>
      </c>
      <c r="G19" s="23">
        <f t="shared" si="3"/>
        <v>2.04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1.0844907407407407E-2</v>
      </c>
      <c r="B20" s="140">
        <f t="shared" si="0"/>
        <v>32.14575</v>
      </c>
      <c r="C20" s="20">
        <v>455</v>
      </c>
      <c r="D20" s="149">
        <v>2.0499999999999998</v>
      </c>
      <c r="E20" s="22">
        <v>2.21</v>
      </c>
      <c r="F20" s="150">
        <f t="shared" si="1"/>
        <v>2.13</v>
      </c>
      <c r="G20" s="23">
        <f t="shared" si="3"/>
        <v>2.13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1.1655092592592592E-2</v>
      </c>
      <c r="B21" s="140">
        <f t="shared" si="0"/>
        <v>34.618500000000004</v>
      </c>
      <c r="C21" s="20">
        <v>490</v>
      </c>
      <c r="D21" s="149">
        <v>2.17</v>
      </c>
      <c r="E21" s="22">
        <v>2.37</v>
      </c>
      <c r="F21" s="150">
        <f t="shared" si="1"/>
        <v>2.27</v>
      </c>
      <c r="G21" s="23">
        <f t="shared" si="3"/>
        <v>2.27</v>
      </c>
      <c r="H21" s="204" t="str">
        <f>"K30  = "&amp;ROUND(K13,1)&amp;"÷2.5"</f>
        <v>K30  = 562÷2.5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1.2511574074074074E-2</v>
      </c>
      <c r="B22" s="140">
        <f t="shared" si="0"/>
        <v>37.091250000000002</v>
      </c>
      <c r="C22" s="20">
        <v>525</v>
      </c>
      <c r="D22" s="149">
        <v>2.29</v>
      </c>
      <c r="E22" s="22">
        <v>2.48</v>
      </c>
      <c r="F22" s="150">
        <f t="shared" si="1"/>
        <v>2.3849999999999998</v>
      </c>
      <c r="G22" s="23">
        <f t="shared" si="3"/>
        <v>2.3849999999999998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1.3333333333333334E-2</v>
      </c>
      <c r="B23" s="140">
        <f t="shared" si="0"/>
        <v>39.564</v>
      </c>
      <c r="C23" s="20">
        <v>560</v>
      </c>
      <c r="D23" s="149">
        <v>2.42</v>
      </c>
      <c r="E23" s="22">
        <v>2.6</v>
      </c>
      <c r="F23" s="150">
        <f t="shared" si="1"/>
        <v>2.5099999999999998</v>
      </c>
      <c r="G23" s="23">
        <f t="shared" si="3"/>
        <v>2.5099999999999998</v>
      </c>
      <c r="H23" s="212">
        <f>K14</f>
        <v>224.8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4">
        <f t="shared" ca="1" si="4"/>
        <v>1.4212962962962964E-2</v>
      </c>
      <c r="B24" s="140">
        <f t="shared" si="0"/>
        <v>42.036750000000005</v>
      </c>
      <c r="C24" s="20">
        <v>595</v>
      </c>
      <c r="D24" s="149">
        <v>2.54</v>
      </c>
      <c r="E24" s="22">
        <v>2.68</v>
      </c>
      <c r="F24" s="151">
        <f t="shared" si="1"/>
        <v>2.6100000000000003</v>
      </c>
      <c r="G24" s="23">
        <f t="shared" si="3"/>
        <v>2.6100000000000003</v>
      </c>
      <c r="H24" s="212"/>
      <c r="I24" s="212"/>
      <c r="J24" s="213"/>
      <c r="K24" s="2"/>
      <c r="L24" s="2"/>
      <c r="M24" s="2"/>
      <c r="N24" s="2"/>
    </row>
    <row r="25" spans="1:14" ht="14.25" customHeight="1">
      <c r="A25" s="164">
        <f t="shared" ca="1" si="4"/>
        <v>1.5046296296296297E-2</v>
      </c>
      <c r="B25" s="163">
        <f t="shared" si="0"/>
        <v>44.509500000000003</v>
      </c>
      <c r="C25" s="48">
        <v>630</v>
      </c>
      <c r="D25" s="152">
        <v>2.63</v>
      </c>
      <c r="E25" s="153">
        <v>2.75</v>
      </c>
      <c r="F25" s="154">
        <f t="shared" si="1"/>
        <v>2.69</v>
      </c>
      <c r="G25" s="49">
        <f t="shared" si="3"/>
        <v>2.69</v>
      </c>
      <c r="H25" s="61"/>
      <c r="J25" s="69"/>
      <c r="K25" s="2"/>
      <c r="L25" s="2"/>
      <c r="M25" s="16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224.8×1.3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292.24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224.8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D8E7-1BA5-4BAB-AC83-6D830C37F2BA}">
  <dimension ref="A1:T66"/>
  <sheetViews>
    <sheetView view="pageBreakPreview" zoomScaleNormal="100" zoomScaleSheetLayoutView="100" workbookViewId="0">
      <selection activeCell="N28" sqref="N28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List!B49</f>
        <v>46199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List!A49</f>
        <v>46</v>
      </c>
      <c r="C3" s="253"/>
      <c r="D3" s="253"/>
      <c r="E3" s="253"/>
      <c r="F3" s="45" t="s">
        <v>34</v>
      </c>
      <c r="G3" s="254" t="str">
        <f>List!C49</f>
        <v>중로(집) 3-16 (No.36 ~ No.50) 노체 20단(60층) - 1회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0.35</v>
      </c>
      <c r="E8" s="22">
        <v>0.22</v>
      </c>
      <c r="F8" s="150">
        <f>IFERROR((D8+E8)/2," ")</f>
        <v>0.28499999999999998</v>
      </c>
      <c r="G8" s="23">
        <f>F8-F7</f>
        <v>0.28499999999999998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0.32</v>
      </c>
      <c r="T8" s="133">
        <f>F8+Q8</f>
        <v>0.38500000000000001</v>
      </c>
    </row>
    <row r="9" spans="1:20" ht="14.25" customHeight="1" thickTop="1">
      <c r="A9" s="144">
        <f ca="1">A8+TIME(,RAND()*1+(1-0),RAND()*10+10)</f>
        <v>1.6782407407407408E-3</v>
      </c>
      <c r="B9" s="140">
        <f t="shared" ref="B9:B24" si="0">C9*0.07065</f>
        <v>4.9455</v>
      </c>
      <c r="C9" s="20">
        <v>70</v>
      </c>
      <c r="D9" s="149">
        <v>0.7</v>
      </c>
      <c r="E9" s="22">
        <v>0.34</v>
      </c>
      <c r="F9" s="150">
        <f t="shared" ref="F9:F25" si="1">IFERROR((D9+E9)/2," ")</f>
        <v>0.52</v>
      </c>
      <c r="G9" s="23">
        <f>F9-$F$7</f>
        <v>0.52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0.44000000000000006</v>
      </c>
      <c r="T9" s="133">
        <f t="shared" si="2"/>
        <v>0.62</v>
      </c>
    </row>
    <row r="10" spans="1:20" ht="14.25" customHeight="1">
      <c r="A10" s="144">
        <f ca="1">A9+TIME(,RAND()*1+(1-0),RAND()*10+5)</f>
        <v>2.5231481481481481E-3</v>
      </c>
      <c r="B10" s="140">
        <f t="shared" si="0"/>
        <v>7.4182500000000005</v>
      </c>
      <c r="C10" s="20">
        <v>105</v>
      </c>
      <c r="D10" s="149">
        <v>0.87</v>
      </c>
      <c r="E10" s="22">
        <v>0.46</v>
      </c>
      <c r="F10" s="150">
        <f t="shared" si="1"/>
        <v>0.66500000000000004</v>
      </c>
      <c r="G10" s="23">
        <f t="shared" ref="G10:G25" si="3">F10-$F$7</f>
        <v>0.66500000000000004</v>
      </c>
      <c r="H10" s="217"/>
      <c r="I10" s="218"/>
      <c r="J10" s="219"/>
      <c r="K10" s="24" t="s">
        <v>15</v>
      </c>
      <c r="L10" s="25">
        <v>0</v>
      </c>
      <c r="M10" s="62">
        <f>K13</f>
        <v>576</v>
      </c>
      <c r="N10" s="2"/>
      <c r="P10" s="3">
        <v>0.1</v>
      </c>
      <c r="Q10" s="3">
        <v>0.1</v>
      </c>
      <c r="S10" s="133">
        <f t="shared" si="2"/>
        <v>0.56000000000000005</v>
      </c>
      <c r="T10" s="133">
        <f t="shared" si="2"/>
        <v>0.76500000000000001</v>
      </c>
    </row>
    <row r="11" spans="1:20" ht="14.25" customHeight="1" thickBot="1">
      <c r="A11" s="144">
        <f ca="1">A10+TIME(,RAND()*1+(1-0),RAND()*10+5)</f>
        <v>3.3564814814814816E-3</v>
      </c>
      <c r="B11" s="140">
        <f t="shared" si="0"/>
        <v>9.891</v>
      </c>
      <c r="C11" s="20">
        <v>140</v>
      </c>
      <c r="D11" s="149">
        <v>1.1200000000000001</v>
      </c>
      <c r="E11" s="22">
        <v>0.59</v>
      </c>
      <c r="F11" s="150">
        <f t="shared" si="1"/>
        <v>0.85499999999999998</v>
      </c>
      <c r="G11" s="23">
        <f t="shared" si="3"/>
        <v>0.85499999999999998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0.69</v>
      </c>
      <c r="T11" s="133">
        <f t="shared" si="2"/>
        <v>0.95499999999999996</v>
      </c>
    </row>
    <row r="12" spans="1:20" ht="14.25" customHeight="1" thickTop="1">
      <c r="A12" s="144">
        <f ca="1">A11+TIME(,RAND()*1+(1-0),RAND()*10+10)</f>
        <v>4.178240740740741E-3</v>
      </c>
      <c r="B12" s="140">
        <f t="shared" si="0"/>
        <v>12.363750000000001</v>
      </c>
      <c r="C12" s="20">
        <v>175</v>
      </c>
      <c r="D12" s="149">
        <v>1.22</v>
      </c>
      <c r="E12" s="22">
        <v>0.74</v>
      </c>
      <c r="F12" s="150">
        <f t="shared" si="1"/>
        <v>0.98</v>
      </c>
      <c r="G12" s="23">
        <f t="shared" si="3"/>
        <v>0.98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0.84</v>
      </c>
      <c r="T12" s="133">
        <f t="shared" si="2"/>
        <v>1.08</v>
      </c>
    </row>
    <row r="13" spans="1:20" ht="14.25" customHeight="1">
      <c r="A13" s="144">
        <f ca="1">A12+TIME(,RAND()*1+(1-0),RAND()*10+10)</f>
        <v>5.069444444444445E-3</v>
      </c>
      <c r="B13" s="140">
        <f t="shared" si="0"/>
        <v>14.836500000000001</v>
      </c>
      <c r="C13" s="20">
        <v>210</v>
      </c>
      <c r="D13" s="149">
        <v>1.35</v>
      </c>
      <c r="E13" s="22">
        <v>0.9</v>
      </c>
      <c r="F13" s="150">
        <f t="shared" si="1"/>
        <v>1.125</v>
      </c>
      <c r="G13" s="23">
        <f t="shared" si="3"/>
        <v>1.125</v>
      </c>
      <c r="H13" s="217" t="s">
        <v>16</v>
      </c>
      <c r="I13" s="218"/>
      <c r="J13" s="219" t="s">
        <v>23</v>
      </c>
      <c r="K13" s="30">
        <v>576</v>
      </c>
      <c r="L13" s="25">
        <f>M10</f>
        <v>576</v>
      </c>
      <c r="M13" s="26">
        <f>L13</f>
        <v>576</v>
      </c>
      <c r="N13" s="2"/>
      <c r="P13" s="3">
        <v>0.1</v>
      </c>
      <c r="Q13" s="3">
        <v>0.1</v>
      </c>
      <c r="S13" s="133">
        <f t="shared" si="2"/>
        <v>1</v>
      </c>
      <c r="T13" s="133">
        <f t="shared" si="2"/>
        <v>1.2250000000000001</v>
      </c>
    </row>
    <row r="14" spans="1:20" ht="14.25" customHeight="1" thickBot="1">
      <c r="A14" s="144">
        <f ca="1">A13+TIME(,RAND()*1+(1-0),RAND()*10+10)</f>
        <v>5.9606481481481489E-3</v>
      </c>
      <c r="B14" s="140">
        <f t="shared" si="0"/>
        <v>17.309250000000002</v>
      </c>
      <c r="C14" s="20">
        <v>245</v>
      </c>
      <c r="D14" s="149">
        <v>1.49</v>
      </c>
      <c r="E14" s="22">
        <v>1.1200000000000001</v>
      </c>
      <c r="F14" s="150">
        <f t="shared" si="1"/>
        <v>1.3050000000000002</v>
      </c>
      <c r="G14" s="23">
        <f t="shared" si="3"/>
        <v>1.3050000000000002</v>
      </c>
      <c r="H14" s="217"/>
      <c r="I14" s="218"/>
      <c r="J14" s="219"/>
      <c r="K14" s="17">
        <f>K13/2.5</f>
        <v>230.4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1.2200000000000002</v>
      </c>
      <c r="T14" s="133">
        <f t="shared" si="2"/>
        <v>1.4050000000000002</v>
      </c>
    </row>
    <row r="15" spans="1:20" ht="14.25" customHeight="1" thickTop="1" thickBot="1">
      <c r="A15" s="144">
        <f ca="1">A14+TIME(,RAND()*1+(1-0),RAND()*10+10)</f>
        <v>6.782407407407408E-3</v>
      </c>
      <c r="B15" s="140">
        <f t="shared" si="0"/>
        <v>19.782</v>
      </c>
      <c r="C15" s="20">
        <v>280</v>
      </c>
      <c r="D15" s="149">
        <v>1.61</v>
      </c>
      <c r="E15" s="22">
        <v>1.23</v>
      </c>
      <c r="F15" s="150">
        <f t="shared" si="1"/>
        <v>1.42</v>
      </c>
      <c r="G15" s="23">
        <f t="shared" si="3"/>
        <v>1.42</v>
      </c>
      <c r="H15" s="217" t="s">
        <v>16</v>
      </c>
      <c r="I15" s="218"/>
      <c r="J15" s="220" t="s">
        <v>27</v>
      </c>
      <c r="K15" s="2">
        <f>ROUND(K14,1)*1.3</f>
        <v>299.52000000000004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1.33</v>
      </c>
      <c r="T15" s="133">
        <f t="shared" si="2"/>
        <v>1.52</v>
      </c>
    </row>
    <row r="16" spans="1:20" ht="14.25" customHeight="1">
      <c r="A16" s="144">
        <f ca="1">A15+TIME(,RAND()*1+(1-0),RAND()*10+10)</f>
        <v>7.673611111111112E-3</v>
      </c>
      <c r="B16" s="140">
        <f t="shared" si="0"/>
        <v>22.254750000000001</v>
      </c>
      <c r="C16" s="20">
        <v>315</v>
      </c>
      <c r="D16" s="149">
        <v>1.72</v>
      </c>
      <c r="E16" s="22">
        <v>1.37</v>
      </c>
      <c r="F16" s="150">
        <f t="shared" si="1"/>
        <v>1.5449999999999999</v>
      </c>
      <c r="G16" s="23">
        <f t="shared" si="3"/>
        <v>1.5449999999999999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5" ca="1" si="4">A16+TIME(,RAND()*1+(1-0),RAND()*10+10)</f>
        <v>8.564814814814815E-3</v>
      </c>
      <c r="B17" s="140">
        <f t="shared" si="0"/>
        <v>24.727500000000003</v>
      </c>
      <c r="C17" s="20">
        <v>350</v>
      </c>
      <c r="D17" s="149">
        <v>1.89</v>
      </c>
      <c r="E17" s="22">
        <v>1.49</v>
      </c>
      <c r="F17" s="150">
        <f t="shared" si="1"/>
        <v>1.69</v>
      </c>
      <c r="G17" s="23">
        <f t="shared" si="3"/>
        <v>1.69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9.386574074074075E-3</v>
      </c>
      <c r="B18" s="140">
        <f t="shared" si="0"/>
        <v>27.20025</v>
      </c>
      <c r="C18" s="20">
        <v>385</v>
      </c>
      <c r="D18" s="149">
        <v>2</v>
      </c>
      <c r="E18" s="22">
        <v>1.57</v>
      </c>
      <c r="F18" s="150">
        <f t="shared" si="1"/>
        <v>1.7850000000000001</v>
      </c>
      <c r="G18" s="23">
        <f t="shared" si="3"/>
        <v>1.7850000000000001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1.0289351851851853E-2</v>
      </c>
      <c r="B19" s="140">
        <f t="shared" si="0"/>
        <v>29.673000000000002</v>
      </c>
      <c r="C19" s="20">
        <v>420</v>
      </c>
      <c r="D19" s="149">
        <v>2.13</v>
      </c>
      <c r="E19" s="22">
        <v>1.69</v>
      </c>
      <c r="F19" s="150">
        <f t="shared" si="1"/>
        <v>1.91</v>
      </c>
      <c r="G19" s="23">
        <f t="shared" si="3"/>
        <v>1.91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1.113425925925926E-2</v>
      </c>
      <c r="B20" s="140">
        <f t="shared" si="0"/>
        <v>32.14575</v>
      </c>
      <c r="C20" s="20">
        <v>455</v>
      </c>
      <c r="D20" s="149">
        <v>2.2599999999999998</v>
      </c>
      <c r="E20" s="22">
        <v>1.8</v>
      </c>
      <c r="F20" s="150">
        <f t="shared" si="1"/>
        <v>2.0299999999999998</v>
      </c>
      <c r="G20" s="23">
        <f t="shared" si="3"/>
        <v>2.0299999999999998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1.1967592592592594E-2</v>
      </c>
      <c r="B21" s="140">
        <f t="shared" si="0"/>
        <v>34.618500000000004</v>
      </c>
      <c r="C21" s="20">
        <v>490</v>
      </c>
      <c r="D21" s="149">
        <v>2.41</v>
      </c>
      <c r="E21" s="22">
        <v>1.95</v>
      </c>
      <c r="F21" s="150">
        <f t="shared" si="1"/>
        <v>2.1800000000000002</v>
      </c>
      <c r="G21" s="23">
        <f t="shared" si="3"/>
        <v>2.1800000000000002</v>
      </c>
      <c r="H21" s="204" t="str">
        <f>"K30  = "&amp;ROUND(K13,1)&amp;"÷2.5"</f>
        <v>K30  = 576÷2.5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1.283564814814815E-2</v>
      </c>
      <c r="B22" s="140">
        <f t="shared" si="0"/>
        <v>37.091250000000002</v>
      </c>
      <c r="C22" s="20">
        <v>525</v>
      </c>
      <c r="D22" s="149">
        <v>2.6919999999999997</v>
      </c>
      <c r="E22" s="22">
        <v>2.0499999999999998</v>
      </c>
      <c r="F22" s="150">
        <f t="shared" si="1"/>
        <v>2.3709999999999996</v>
      </c>
      <c r="G22" s="23">
        <f t="shared" si="3"/>
        <v>2.3709999999999996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1.3668981481481483E-2</v>
      </c>
      <c r="B23" s="140">
        <f t="shared" si="0"/>
        <v>39.564</v>
      </c>
      <c r="C23" s="20">
        <v>560</v>
      </c>
      <c r="D23" s="149">
        <v>2.7349999999999999</v>
      </c>
      <c r="E23" s="22">
        <v>2.1800000000000002</v>
      </c>
      <c r="F23" s="150">
        <f t="shared" si="1"/>
        <v>2.4575</v>
      </c>
      <c r="G23" s="23">
        <f t="shared" si="3"/>
        <v>2.4575</v>
      </c>
      <c r="H23" s="212">
        <f>K14</f>
        <v>230.4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4">
        <f t="shared" ca="1" si="4"/>
        <v>1.4583333333333335E-2</v>
      </c>
      <c r="B24" s="140">
        <f t="shared" si="0"/>
        <v>42.036750000000005</v>
      </c>
      <c r="C24" s="20">
        <v>595</v>
      </c>
      <c r="D24" s="149">
        <v>2.81</v>
      </c>
      <c r="E24" s="22">
        <v>2.35</v>
      </c>
      <c r="F24" s="151">
        <f t="shared" si="1"/>
        <v>2.58</v>
      </c>
      <c r="G24" s="23">
        <f t="shared" si="3"/>
        <v>2.58</v>
      </c>
      <c r="H24" s="212"/>
      <c r="I24" s="212"/>
      <c r="J24" s="213"/>
      <c r="K24" s="2"/>
      <c r="L24" s="2"/>
      <c r="M24" s="2"/>
      <c r="N24" s="2"/>
    </row>
    <row r="25" spans="1:14" ht="14.25" customHeight="1">
      <c r="A25" s="164">
        <f t="shared" ca="1" si="4"/>
        <v>1.5486111111111114E-2</v>
      </c>
      <c r="B25" s="163">
        <f>C25*0.07065</f>
        <v>44.509500000000003</v>
      </c>
      <c r="C25" s="48">
        <v>630</v>
      </c>
      <c r="D25" s="152">
        <v>2.88</v>
      </c>
      <c r="E25" s="153">
        <v>2.4</v>
      </c>
      <c r="F25" s="154">
        <f t="shared" si="1"/>
        <v>2.6399999999999997</v>
      </c>
      <c r="G25" s="49">
        <f t="shared" si="3"/>
        <v>2.6399999999999997</v>
      </c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230.4×1.3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299.52000000000004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230.4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5D29-4B39-4217-A87A-126828DD5E81}">
  <dimension ref="A1:T66"/>
  <sheetViews>
    <sheetView view="pageBreakPreview" topLeftCell="A7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List!B48</f>
        <v>46195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List!A48</f>
        <v>45</v>
      </c>
      <c r="C3" s="253"/>
      <c r="D3" s="253"/>
      <c r="E3" s="253"/>
      <c r="F3" s="45" t="s">
        <v>34</v>
      </c>
      <c r="G3" s="254" t="str">
        <f>List!C48</f>
        <v>중로(집) 3-16 (No.36 ~ No.50) 노체 19단(57층) - 2회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7.9861111111111116E-4</v>
      </c>
      <c r="B8" s="140">
        <f>C8*0.07065</f>
        <v>2.47275</v>
      </c>
      <c r="C8" s="20">
        <v>35</v>
      </c>
      <c r="D8" s="149">
        <v>0.17</v>
      </c>
      <c r="E8" s="22">
        <v>0.31</v>
      </c>
      <c r="F8" s="150">
        <f>IFERROR((D8+E8)/2," ")</f>
        <v>0.24</v>
      </c>
      <c r="G8" s="23">
        <f>F8-F7</f>
        <v>0.24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0.41000000000000003</v>
      </c>
      <c r="T8" s="133">
        <f>F8+Q8</f>
        <v>0.33999999999999997</v>
      </c>
    </row>
    <row r="9" spans="1:20" ht="14.25" customHeight="1" thickTop="1">
      <c r="A9" s="144">
        <f ca="1">A8+TIME(,RAND()*1+(1-0),RAND()*10+10)</f>
        <v>1.712962962962963E-3</v>
      </c>
      <c r="B9" s="140">
        <f t="shared" ref="B9:B24" si="0">C9*0.07065</f>
        <v>4.9455</v>
      </c>
      <c r="C9" s="20">
        <v>70</v>
      </c>
      <c r="D9" s="149">
        <v>0.34</v>
      </c>
      <c r="E9" s="22">
        <v>0.45</v>
      </c>
      <c r="F9" s="150">
        <f t="shared" ref="F9:F24" si="1">IFERROR((D9+E9)/2," ")</f>
        <v>0.39500000000000002</v>
      </c>
      <c r="G9" s="23">
        <f>F9-$F$7</f>
        <v>0.39500000000000002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0.55000000000000004</v>
      </c>
      <c r="T9" s="133">
        <f t="shared" si="2"/>
        <v>0.495</v>
      </c>
    </row>
    <row r="10" spans="1:20" ht="14.25" customHeight="1">
      <c r="A10" s="144">
        <f ca="1">A9+TIME(,RAND()*1+(1-0),RAND()*10+5)</f>
        <v>2.5347222222222221E-3</v>
      </c>
      <c r="B10" s="140">
        <f t="shared" si="0"/>
        <v>7.4182500000000005</v>
      </c>
      <c r="C10" s="20">
        <v>105</v>
      </c>
      <c r="D10" s="149">
        <v>0.56000000000000005</v>
      </c>
      <c r="E10" s="22">
        <v>0.63</v>
      </c>
      <c r="F10" s="150">
        <f t="shared" si="1"/>
        <v>0.59499999999999997</v>
      </c>
      <c r="G10" s="23">
        <f t="shared" ref="G10:G24" si="3">F10-$F$7</f>
        <v>0.59499999999999997</v>
      </c>
      <c r="H10" s="217"/>
      <c r="I10" s="218"/>
      <c r="J10" s="219"/>
      <c r="K10" s="24" t="s">
        <v>15</v>
      </c>
      <c r="L10" s="25">
        <v>0</v>
      </c>
      <c r="M10" s="62">
        <f>K13</f>
        <v>552</v>
      </c>
      <c r="N10" s="2"/>
      <c r="P10" s="3">
        <v>0.1</v>
      </c>
      <c r="Q10" s="3">
        <v>0.1</v>
      </c>
      <c r="S10" s="133">
        <f t="shared" si="2"/>
        <v>0.73</v>
      </c>
      <c r="T10" s="133">
        <f t="shared" si="2"/>
        <v>0.69499999999999995</v>
      </c>
    </row>
    <row r="11" spans="1:20" ht="14.25" customHeight="1" thickBot="1">
      <c r="A11" s="144">
        <f ca="1">A10+TIME(,RAND()*1+(1-0),RAND()*10+5)</f>
        <v>3.3680555555555556E-3</v>
      </c>
      <c r="B11" s="140">
        <f t="shared" si="0"/>
        <v>9.891</v>
      </c>
      <c r="C11" s="20">
        <v>140</v>
      </c>
      <c r="D11" s="149">
        <v>0.89</v>
      </c>
      <c r="E11" s="22">
        <v>0.88</v>
      </c>
      <c r="F11" s="150">
        <f t="shared" si="1"/>
        <v>0.88500000000000001</v>
      </c>
      <c r="G11" s="23">
        <f t="shared" si="3"/>
        <v>0.88500000000000001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0.98</v>
      </c>
      <c r="T11" s="133">
        <f t="shared" si="2"/>
        <v>0.98499999999999999</v>
      </c>
    </row>
    <row r="12" spans="1:20" ht="14.25" customHeight="1" thickTop="1">
      <c r="A12" s="144">
        <f ca="1">A11+TIME(,RAND()*1+(1-0),RAND()*10+10)</f>
        <v>4.2592592592592595E-3</v>
      </c>
      <c r="B12" s="140">
        <f t="shared" si="0"/>
        <v>12.363750000000001</v>
      </c>
      <c r="C12" s="20">
        <v>175</v>
      </c>
      <c r="D12" s="149">
        <v>0.99</v>
      </c>
      <c r="E12" s="22">
        <v>1.1000000000000001</v>
      </c>
      <c r="F12" s="150">
        <f t="shared" si="1"/>
        <v>1.0449999999999999</v>
      </c>
      <c r="G12" s="23">
        <f t="shared" si="3"/>
        <v>1.0449999999999999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1.2000000000000002</v>
      </c>
      <c r="T12" s="133">
        <f t="shared" si="2"/>
        <v>1.145</v>
      </c>
    </row>
    <row r="13" spans="1:20" ht="14.25" customHeight="1">
      <c r="A13" s="144">
        <f ca="1">A12+TIME(,RAND()*1+(1-0),RAND()*10+10)</f>
        <v>5.1504629629629635E-3</v>
      </c>
      <c r="B13" s="140">
        <f t="shared" si="0"/>
        <v>14.836500000000001</v>
      </c>
      <c r="C13" s="20">
        <v>210</v>
      </c>
      <c r="D13" s="149">
        <v>1.1299999999999999</v>
      </c>
      <c r="E13" s="22">
        <v>1.33</v>
      </c>
      <c r="F13" s="150">
        <f t="shared" si="1"/>
        <v>1.23</v>
      </c>
      <c r="G13" s="23">
        <f t="shared" si="3"/>
        <v>1.23</v>
      </c>
      <c r="H13" s="217" t="s">
        <v>16</v>
      </c>
      <c r="I13" s="218"/>
      <c r="J13" s="219" t="s">
        <v>23</v>
      </c>
      <c r="K13" s="30">
        <v>552</v>
      </c>
      <c r="L13" s="25">
        <f>M10</f>
        <v>552</v>
      </c>
      <c r="M13" s="26">
        <f>L13</f>
        <v>552</v>
      </c>
      <c r="N13" s="2"/>
      <c r="P13" s="3">
        <v>0.1</v>
      </c>
      <c r="Q13" s="3">
        <v>0.1</v>
      </c>
      <c r="S13" s="133">
        <f t="shared" si="2"/>
        <v>1.4300000000000002</v>
      </c>
      <c r="T13" s="133">
        <f t="shared" si="2"/>
        <v>1.33</v>
      </c>
    </row>
    <row r="14" spans="1:20" ht="14.25" customHeight="1" thickBot="1">
      <c r="A14" s="144">
        <f ca="1">A13+TIME(,RAND()*1+(1-0),RAND()*10+10)</f>
        <v>5.9606481481481489E-3</v>
      </c>
      <c r="B14" s="140">
        <f t="shared" si="0"/>
        <v>17.309250000000002</v>
      </c>
      <c r="C14" s="20">
        <v>245</v>
      </c>
      <c r="D14" s="149">
        <v>1.27</v>
      </c>
      <c r="E14" s="22">
        <v>1.6</v>
      </c>
      <c r="F14" s="150">
        <f t="shared" si="1"/>
        <v>1.4350000000000001</v>
      </c>
      <c r="G14" s="23">
        <f t="shared" si="3"/>
        <v>1.4350000000000001</v>
      </c>
      <c r="H14" s="217"/>
      <c r="I14" s="218"/>
      <c r="J14" s="219"/>
      <c r="K14" s="17">
        <f>K13/2.5</f>
        <v>220.8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1.7000000000000002</v>
      </c>
      <c r="T14" s="133">
        <f t="shared" si="2"/>
        <v>1.5350000000000001</v>
      </c>
    </row>
    <row r="15" spans="1:20" ht="14.25" customHeight="1" thickTop="1" thickBot="1">
      <c r="A15" s="144">
        <f ca="1">A14+TIME(,RAND()*1+(1-0),RAND()*10+10)</f>
        <v>6.8518518518518529E-3</v>
      </c>
      <c r="B15" s="140">
        <f t="shared" si="0"/>
        <v>19.782</v>
      </c>
      <c r="C15" s="20">
        <v>280</v>
      </c>
      <c r="D15" s="149">
        <v>1.4</v>
      </c>
      <c r="E15" s="22">
        <v>1.71</v>
      </c>
      <c r="F15" s="150">
        <f t="shared" si="1"/>
        <v>1.5549999999999999</v>
      </c>
      <c r="G15" s="23">
        <f t="shared" si="3"/>
        <v>1.5549999999999999</v>
      </c>
      <c r="H15" s="217" t="s">
        <v>16</v>
      </c>
      <c r="I15" s="218"/>
      <c r="J15" s="220" t="s">
        <v>27</v>
      </c>
      <c r="K15" s="2">
        <f>ROUND(K14,1)*1.3</f>
        <v>287.04000000000002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1.81</v>
      </c>
      <c r="T15" s="133">
        <f t="shared" si="2"/>
        <v>1.655</v>
      </c>
    </row>
    <row r="16" spans="1:20" ht="14.25" customHeight="1">
      <c r="A16" s="144">
        <f ca="1">A15+TIME(,RAND()*1+(1-0),RAND()*10+10)</f>
        <v>7.6620370370370384E-3</v>
      </c>
      <c r="B16" s="140">
        <f t="shared" si="0"/>
        <v>22.254750000000001</v>
      </c>
      <c r="C16" s="20">
        <v>315</v>
      </c>
      <c r="D16" s="149">
        <v>1.51</v>
      </c>
      <c r="E16" s="22">
        <v>1.83</v>
      </c>
      <c r="F16" s="150">
        <f t="shared" si="1"/>
        <v>1.67</v>
      </c>
      <c r="G16" s="23">
        <f t="shared" si="3"/>
        <v>1.67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4" ca="1" si="4">A16+TIME(,RAND()*1+(1-0),RAND()*10+10)</f>
        <v>8.5763888888888903E-3</v>
      </c>
      <c r="B17" s="140">
        <f t="shared" si="0"/>
        <v>24.727500000000003</v>
      </c>
      <c r="C17" s="20">
        <v>350</v>
      </c>
      <c r="D17" s="149">
        <v>1.64</v>
      </c>
      <c r="E17" s="22">
        <v>1.96</v>
      </c>
      <c r="F17" s="150">
        <f t="shared" si="1"/>
        <v>1.7999999999999998</v>
      </c>
      <c r="G17" s="23">
        <f t="shared" si="3"/>
        <v>1.7999999999999998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9.4560185185185198E-3</v>
      </c>
      <c r="B18" s="140">
        <f t="shared" si="0"/>
        <v>27.20025</v>
      </c>
      <c r="C18" s="20">
        <v>385</v>
      </c>
      <c r="D18" s="149">
        <v>1.74</v>
      </c>
      <c r="E18" s="22">
        <v>2.14</v>
      </c>
      <c r="F18" s="150">
        <f t="shared" si="1"/>
        <v>1.94</v>
      </c>
      <c r="G18" s="23">
        <f t="shared" si="3"/>
        <v>1.94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1.0335648148148149E-2</v>
      </c>
      <c r="B19" s="140">
        <f t="shared" si="0"/>
        <v>29.673000000000002</v>
      </c>
      <c r="C19" s="20">
        <v>420</v>
      </c>
      <c r="D19" s="149">
        <v>1.85</v>
      </c>
      <c r="E19" s="22">
        <v>2.35</v>
      </c>
      <c r="F19" s="150">
        <f t="shared" si="1"/>
        <v>2.1</v>
      </c>
      <c r="G19" s="23">
        <f t="shared" si="3"/>
        <v>2.1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1.1157407407407409E-2</v>
      </c>
      <c r="B20" s="140">
        <f t="shared" si="0"/>
        <v>32.14575</v>
      </c>
      <c r="C20" s="20">
        <v>455</v>
      </c>
      <c r="D20" s="149">
        <v>1.97</v>
      </c>
      <c r="E20" s="22">
        <v>2.4900000000000002</v>
      </c>
      <c r="F20" s="150">
        <f t="shared" si="1"/>
        <v>2.23</v>
      </c>
      <c r="G20" s="23">
        <f t="shared" si="3"/>
        <v>2.23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1.2048611111111112E-2</v>
      </c>
      <c r="B21" s="140">
        <f t="shared" si="0"/>
        <v>34.618500000000004</v>
      </c>
      <c r="C21" s="20">
        <v>490</v>
      </c>
      <c r="D21" s="149">
        <v>2.09</v>
      </c>
      <c r="E21" s="22">
        <v>2.5499999999999998</v>
      </c>
      <c r="F21" s="150">
        <f t="shared" si="1"/>
        <v>2.3199999999999998</v>
      </c>
      <c r="G21" s="23">
        <f t="shared" si="3"/>
        <v>2.3199999999999998</v>
      </c>
      <c r="H21" s="204" t="str">
        <f>"K30  = "&amp;ROUND(K13,1)&amp;"÷2.5"</f>
        <v>K30  = 552÷2.5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1.2858796296296297E-2</v>
      </c>
      <c r="B22" s="140">
        <f t="shared" si="0"/>
        <v>37.091250000000002</v>
      </c>
      <c r="C22" s="20">
        <v>525</v>
      </c>
      <c r="D22" s="149">
        <v>2.23</v>
      </c>
      <c r="E22" s="22">
        <v>2.63</v>
      </c>
      <c r="F22" s="150">
        <f t="shared" si="1"/>
        <v>2.4299999999999997</v>
      </c>
      <c r="G22" s="23">
        <f t="shared" si="3"/>
        <v>2.4299999999999997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1.3773148148148149E-2</v>
      </c>
      <c r="B23" s="140">
        <f t="shared" si="0"/>
        <v>39.564</v>
      </c>
      <c r="C23" s="20">
        <v>560</v>
      </c>
      <c r="D23" s="149">
        <v>2.34</v>
      </c>
      <c r="E23" s="22">
        <v>2.69</v>
      </c>
      <c r="F23" s="150">
        <f t="shared" si="1"/>
        <v>2.5149999999999997</v>
      </c>
      <c r="G23" s="23">
        <f t="shared" si="3"/>
        <v>2.5149999999999997</v>
      </c>
      <c r="H23" s="212">
        <f>K14</f>
        <v>220.8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4">
        <f t="shared" ca="1" si="4"/>
        <v>1.4618055555555556E-2</v>
      </c>
      <c r="B24" s="140">
        <f t="shared" si="0"/>
        <v>42.036750000000005</v>
      </c>
      <c r="C24" s="20">
        <v>595</v>
      </c>
      <c r="D24" s="149">
        <v>2.4500000000000002</v>
      </c>
      <c r="E24" s="22">
        <v>2.76</v>
      </c>
      <c r="F24" s="151">
        <f t="shared" si="1"/>
        <v>2.605</v>
      </c>
      <c r="G24" s="23">
        <f t="shared" si="3"/>
        <v>2.605</v>
      </c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16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220.8×1.3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287.04000000000002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220.8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83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861-F5E4-4876-911C-02AFF4D8D84B}">
  <dimension ref="A1:T66"/>
  <sheetViews>
    <sheetView view="pageBreakPreview" topLeftCell="A10" zoomScale="130" zoomScaleNormal="100" zoomScaleSheetLayoutView="13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List!B47</f>
        <v>46195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List!A47</f>
        <v>44</v>
      </c>
      <c r="C3" s="253"/>
      <c r="D3" s="253"/>
      <c r="E3" s="253"/>
      <c r="F3" s="45" t="s">
        <v>34</v>
      </c>
      <c r="G3" s="254" t="str">
        <f>List!C47</f>
        <v>중로(집) 3-16 (No.36 ~ No.50) 노체 19단(57층) - 1회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7.6388888888888893E-4</v>
      </c>
      <c r="B8" s="140">
        <f>C8*0.07065</f>
        <v>2.47275</v>
      </c>
      <c r="C8" s="20">
        <v>35</v>
      </c>
      <c r="D8" s="149">
        <v>0.18</v>
      </c>
      <c r="E8" s="22">
        <v>0.28999999999999998</v>
      </c>
      <c r="F8" s="150">
        <f>IFERROR((D8+E8)/2," ")</f>
        <v>0.23499999999999999</v>
      </c>
      <c r="G8" s="23">
        <f>F8-F7</f>
        <v>0.23499999999999999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0.39</v>
      </c>
      <c r="T8" s="133">
        <f>F8+Q8</f>
        <v>0.33499999999999996</v>
      </c>
    </row>
    <row r="9" spans="1:20" ht="14.25" customHeight="1" thickTop="1">
      <c r="A9" s="144">
        <f ca="1">A8+TIME(,RAND()*1+(1-0),RAND()*10+10)</f>
        <v>1.6203703703703705E-3</v>
      </c>
      <c r="B9" s="140">
        <f t="shared" ref="B9:B24" si="0">C9*0.07065</f>
        <v>4.9455</v>
      </c>
      <c r="C9" s="20">
        <v>70</v>
      </c>
      <c r="D9" s="149">
        <v>0.39</v>
      </c>
      <c r="E9" s="22">
        <v>0.4</v>
      </c>
      <c r="F9" s="150">
        <f t="shared" ref="F9:F24" si="1">IFERROR((D9+E9)/2," ")</f>
        <v>0.39500000000000002</v>
      </c>
      <c r="G9" s="23">
        <f>F9-$F$7</f>
        <v>0.39500000000000002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</v>
      </c>
      <c r="T9" s="133">
        <f t="shared" si="2"/>
        <v>0.495</v>
      </c>
    </row>
    <row r="10" spans="1:20" ht="14.25" customHeight="1">
      <c r="A10" s="144">
        <f ca="1">A9+TIME(,RAND()*1+(1-0),RAND()*10+5)</f>
        <v>2.44212962962963E-3</v>
      </c>
      <c r="B10" s="140">
        <f t="shared" si="0"/>
        <v>7.4182500000000005</v>
      </c>
      <c r="C10" s="20">
        <v>105</v>
      </c>
      <c r="D10" s="149">
        <v>0.5</v>
      </c>
      <c r="E10" s="22">
        <v>0.61</v>
      </c>
      <c r="F10" s="150">
        <f t="shared" si="1"/>
        <v>0.55499999999999994</v>
      </c>
      <c r="G10" s="23">
        <f t="shared" ref="G10:G24" si="3">F10-$F$7</f>
        <v>0.55499999999999994</v>
      </c>
      <c r="H10" s="217"/>
      <c r="I10" s="218"/>
      <c r="J10" s="219"/>
      <c r="K10" s="24" t="s">
        <v>15</v>
      </c>
      <c r="L10" s="25">
        <v>0</v>
      </c>
      <c r="M10" s="62">
        <f>K13</f>
        <v>549</v>
      </c>
      <c r="N10" s="2"/>
      <c r="P10" s="3">
        <v>0.1</v>
      </c>
      <c r="Q10" s="3">
        <v>0.1</v>
      </c>
      <c r="S10" s="133">
        <f t="shared" si="2"/>
        <v>0.71</v>
      </c>
      <c r="T10" s="133">
        <f t="shared" si="2"/>
        <v>0.65499999999999992</v>
      </c>
    </row>
    <row r="11" spans="1:20" ht="14.25" customHeight="1" thickBot="1">
      <c r="A11" s="144">
        <f ca="1">A10+TIME(,RAND()*1+(1-0),RAND()*10+5)</f>
        <v>3.2870370370370375E-3</v>
      </c>
      <c r="B11" s="140">
        <f t="shared" si="0"/>
        <v>9.891</v>
      </c>
      <c r="C11" s="20">
        <v>140</v>
      </c>
      <c r="D11" s="149">
        <v>0.74</v>
      </c>
      <c r="E11" s="22">
        <v>0.73</v>
      </c>
      <c r="F11" s="150">
        <f t="shared" si="1"/>
        <v>0.73499999999999999</v>
      </c>
      <c r="G11" s="23">
        <f t="shared" si="3"/>
        <v>0.73499999999999999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0.83</v>
      </c>
      <c r="T11" s="133">
        <f t="shared" si="2"/>
        <v>0.83499999999999996</v>
      </c>
    </row>
    <row r="12" spans="1:20" ht="14.25" customHeight="1" thickTop="1">
      <c r="A12" s="144">
        <f ca="1">A11+TIME(,RAND()*1+(1-0),RAND()*10+10)</f>
        <v>4.131944444444445E-3</v>
      </c>
      <c r="B12" s="140">
        <f t="shared" si="0"/>
        <v>12.363750000000001</v>
      </c>
      <c r="C12" s="20">
        <v>175</v>
      </c>
      <c r="D12" s="149">
        <v>0.89</v>
      </c>
      <c r="E12" s="22">
        <v>0.88</v>
      </c>
      <c r="F12" s="150">
        <f t="shared" si="1"/>
        <v>0.88500000000000001</v>
      </c>
      <c r="G12" s="23">
        <f t="shared" si="3"/>
        <v>0.88500000000000001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0.98</v>
      </c>
      <c r="T12" s="133">
        <f t="shared" si="2"/>
        <v>0.98499999999999999</v>
      </c>
    </row>
    <row r="13" spans="1:20" ht="14.25" customHeight="1">
      <c r="A13" s="144">
        <f ca="1">A12+TIME(,RAND()*1+(1-0),RAND()*10+10)</f>
        <v>4.9884259259259265E-3</v>
      </c>
      <c r="B13" s="140">
        <f t="shared" si="0"/>
        <v>14.836500000000001</v>
      </c>
      <c r="C13" s="20">
        <v>210</v>
      </c>
      <c r="D13" s="149">
        <v>1.04</v>
      </c>
      <c r="E13" s="22">
        <v>1.03</v>
      </c>
      <c r="F13" s="150">
        <f t="shared" si="1"/>
        <v>1.0350000000000001</v>
      </c>
      <c r="G13" s="23">
        <f t="shared" si="3"/>
        <v>1.0350000000000001</v>
      </c>
      <c r="H13" s="217" t="s">
        <v>16</v>
      </c>
      <c r="I13" s="218"/>
      <c r="J13" s="219" t="s">
        <v>23</v>
      </c>
      <c r="K13" s="30">
        <v>549</v>
      </c>
      <c r="L13" s="25">
        <f>M10</f>
        <v>549</v>
      </c>
      <c r="M13" s="26">
        <f>L13</f>
        <v>549</v>
      </c>
      <c r="N13" s="2"/>
      <c r="P13" s="3">
        <v>0.1</v>
      </c>
      <c r="Q13" s="3">
        <v>0.1</v>
      </c>
      <c r="S13" s="133">
        <f t="shared" si="2"/>
        <v>1.1300000000000001</v>
      </c>
      <c r="T13" s="133">
        <f t="shared" si="2"/>
        <v>1.1350000000000002</v>
      </c>
    </row>
    <row r="14" spans="1:20" ht="14.25" customHeight="1" thickBot="1">
      <c r="A14" s="144">
        <f ca="1">A13+TIME(,RAND()*1+(1-0),RAND()*10+10)</f>
        <v>5.9027777777777785E-3</v>
      </c>
      <c r="B14" s="140">
        <f t="shared" si="0"/>
        <v>17.309250000000002</v>
      </c>
      <c r="C14" s="20">
        <v>245</v>
      </c>
      <c r="D14" s="149">
        <v>1.22</v>
      </c>
      <c r="E14" s="22">
        <v>1.33</v>
      </c>
      <c r="F14" s="150">
        <f t="shared" si="1"/>
        <v>1.2749999999999999</v>
      </c>
      <c r="G14" s="23">
        <f t="shared" si="3"/>
        <v>1.2749999999999999</v>
      </c>
      <c r="H14" s="217"/>
      <c r="I14" s="218"/>
      <c r="J14" s="219"/>
      <c r="K14" s="17">
        <f>K13/2.5</f>
        <v>219.6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1.4300000000000002</v>
      </c>
      <c r="T14" s="133">
        <f t="shared" si="2"/>
        <v>1.375</v>
      </c>
    </row>
    <row r="15" spans="1:20" ht="14.25" customHeight="1" thickTop="1" thickBot="1">
      <c r="A15" s="144">
        <f ca="1">A14+TIME(,RAND()*1+(1-0),RAND()*10+10)</f>
        <v>6.736111111111112E-3</v>
      </c>
      <c r="B15" s="140">
        <f t="shared" si="0"/>
        <v>19.782</v>
      </c>
      <c r="C15" s="20">
        <v>280</v>
      </c>
      <c r="D15" s="149">
        <v>1.34</v>
      </c>
      <c r="E15" s="22">
        <v>1.49</v>
      </c>
      <c r="F15" s="150">
        <f t="shared" si="1"/>
        <v>1.415</v>
      </c>
      <c r="G15" s="23">
        <f t="shared" si="3"/>
        <v>1.415</v>
      </c>
      <c r="H15" s="217" t="s">
        <v>16</v>
      </c>
      <c r="I15" s="218"/>
      <c r="J15" s="220" t="s">
        <v>27</v>
      </c>
      <c r="K15" s="2">
        <f>ROUND(K14,1)*1.3</f>
        <v>285.48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1.59</v>
      </c>
      <c r="T15" s="133">
        <f t="shared" si="2"/>
        <v>1.5150000000000001</v>
      </c>
    </row>
    <row r="16" spans="1:20" ht="14.25" customHeight="1">
      <c r="A16" s="144">
        <f ca="1">A15+TIME(,RAND()*1+(1-0),RAND()*10+10)</f>
        <v>7.6504629629629639E-3</v>
      </c>
      <c r="B16" s="140">
        <f t="shared" si="0"/>
        <v>22.254750000000001</v>
      </c>
      <c r="C16" s="20">
        <v>315</v>
      </c>
      <c r="D16" s="149">
        <v>1.43</v>
      </c>
      <c r="E16" s="22">
        <v>1.71</v>
      </c>
      <c r="F16" s="150">
        <f t="shared" si="1"/>
        <v>1.5699999999999998</v>
      </c>
      <c r="G16" s="23">
        <f t="shared" si="3"/>
        <v>1.5699999999999998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4" ca="1" si="4">A16+TIME(,RAND()*1+(1-0),RAND()*10+10)</f>
        <v>8.4953703703703719E-3</v>
      </c>
      <c r="B17" s="140">
        <f t="shared" si="0"/>
        <v>24.727500000000003</v>
      </c>
      <c r="C17" s="20">
        <v>350</v>
      </c>
      <c r="D17" s="149">
        <v>1.59</v>
      </c>
      <c r="E17" s="22">
        <v>1.9</v>
      </c>
      <c r="F17" s="150">
        <f t="shared" si="1"/>
        <v>1.7450000000000001</v>
      </c>
      <c r="G17" s="23">
        <f t="shared" si="3"/>
        <v>1.7450000000000001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9.386574074074075E-3</v>
      </c>
      <c r="B18" s="140">
        <f t="shared" si="0"/>
        <v>27.20025</v>
      </c>
      <c r="C18" s="20">
        <v>385</v>
      </c>
      <c r="D18" s="149">
        <v>1.71</v>
      </c>
      <c r="E18" s="22">
        <v>2.0499999999999998</v>
      </c>
      <c r="F18" s="150">
        <f t="shared" si="1"/>
        <v>1.88</v>
      </c>
      <c r="G18" s="23">
        <f t="shared" si="3"/>
        <v>1.88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1.0219907407407408E-2</v>
      </c>
      <c r="B19" s="140">
        <f t="shared" si="0"/>
        <v>29.673000000000002</v>
      </c>
      <c r="C19" s="20">
        <v>420</v>
      </c>
      <c r="D19" s="149">
        <v>1.88</v>
      </c>
      <c r="E19" s="22">
        <v>2.19</v>
      </c>
      <c r="F19" s="150">
        <f t="shared" si="1"/>
        <v>2.0350000000000001</v>
      </c>
      <c r="G19" s="23">
        <f t="shared" si="3"/>
        <v>2.0350000000000001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1.1064814814814816E-2</v>
      </c>
      <c r="B20" s="140">
        <f t="shared" si="0"/>
        <v>32.14575</v>
      </c>
      <c r="C20" s="20">
        <v>455</v>
      </c>
      <c r="D20" s="149">
        <v>1.99</v>
      </c>
      <c r="E20" s="22">
        <v>2.36</v>
      </c>
      <c r="F20" s="150">
        <f t="shared" si="1"/>
        <v>2.1749999999999998</v>
      </c>
      <c r="G20" s="23">
        <f t="shared" si="3"/>
        <v>2.1749999999999998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1.1944444444444445E-2</v>
      </c>
      <c r="B21" s="140">
        <f t="shared" si="0"/>
        <v>34.618500000000004</v>
      </c>
      <c r="C21" s="20">
        <v>490</v>
      </c>
      <c r="D21" s="149">
        <v>2.12</v>
      </c>
      <c r="E21" s="22">
        <v>2.48</v>
      </c>
      <c r="F21" s="150">
        <f t="shared" si="1"/>
        <v>2.2999999999999998</v>
      </c>
      <c r="G21" s="23">
        <f t="shared" si="3"/>
        <v>2.2999999999999998</v>
      </c>
      <c r="H21" s="204" t="str">
        <f>"K30  = "&amp;ROUND(K13,1)&amp;"÷2.5"</f>
        <v>K30  = 549÷2.5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1.2777777777777779E-2</v>
      </c>
      <c r="B22" s="140">
        <f t="shared" si="0"/>
        <v>37.091250000000002</v>
      </c>
      <c r="C22" s="20">
        <v>525</v>
      </c>
      <c r="D22" s="149">
        <v>2.2599999999999998</v>
      </c>
      <c r="E22" s="22">
        <v>2.59</v>
      </c>
      <c r="F22" s="150">
        <f t="shared" si="1"/>
        <v>2.4249999999999998</v>
      </c>
      <c r="G22" s="23">
        <f t="shared" si="3"/>
        <v>2.4249999999999998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1.3587962962962963E-2</v>
      </c>
      <c r="B23" s="140">
        <f t="shared" si="0"/>
        <v>39.564</v>
      </c>
      <c r="C23" s="20">
        <v>560</v>
      </c>
      <c r="D23" s="149">
        <v>2.39</v>
      </c>
      <c r="E23" s="22">
        <v>2.63</v>
      </c>
      <c r="F23" s="150">
        <f t="shared" si="1"/>
        <v>2.5099999999999998</v>
      </c>
      <c r="G23" s="23">
        <f t="shared" si="3"/>
        <v>2.5099999999999998</v>
      </c>
      <c r="H23" s="212">
        <f>K14</f>
        <v>219.6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4">
        <f t="shared" ca="1" si="4"/>
        <v>1.4479166666666666E-2</v>
      </c>
      <c r="B24" s="140">
        <f t="shared" si="0"/>
        <v>42.036750000000005</v>
      </c>
      <c r="C24" s="20">
        <f>C23+35</f>
        <v>595</v>
      </c>
      <c r="D24" s="149">
        <v>2.46</v>
      </c>
      <c r="E24" s="22">
        <v>2.7</v>
      </c>
      <c r="F24" s="151">
        <f t="shared" si="1"/>
        <v>2.58</v>
      </c>
      <c r="G24" s="23">
        <f t="shared" si="3"/>
        <v>2.58</v>
      </c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219.6×1.3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285.48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219.6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83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1A26-E35C-4A1B-BA55-2EC5F22CB709}">
  <dimension ref="A1:T66"/>
  <sheetViews>
    <sheetView view="pageBreakPreview" zoomScaleNormal="100" zoomScaleSheetLayoutView="10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List!B46</f>
        <v>46189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List!A46</f>
        <v>43</v>
      </c>
      <c r="C3" s="253"/>
      <c r="D3" s="253"/>
      <c r="E3" s="253"/>
      <c r="F3" s="45" t="s">
        <v>34</v>
      </c>
      <c r="G3" s="254" t="str">
        <f>List!C46</f>
        <v>중로(집) 3-16 (No.36 ~ No.50) 노체 18단(54층) - 2회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8.4490740740740739E-4</v>
      </c>
      <c r="B8" s="140">
        <f>C8*0.07065</f>
        <v>2.47275</v>
      </c>
      <c r="C8" s="20">
        <v>35</v>
      </c>
      <c r="D8" s="149">
        <v>0.23</v>
      </c>
      <c r="E8" s="22">
        <v>0.31</v>
      </c>
      <c r="F8" s="150">
        <f>IFERROR((D8+E8)/2," ")</f>
        <v>0.27</v>
      </c>
      <c r="G8" s="23">
        <f>F8-F7</f>
        <v>0.27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0.41000000000000003</v>
      </c>
      <c r="T8" s="133">
        <f>F8+Q8</f>
        <v>0.37</v>
      </c>
    </row>
    <row r="9" spans="1:20" ht="14.25" customHeight="1" thickTop="1">
      <c r="A9" s="144">
        <f ca="1">A8+TIME(,RAND()*1+(1-0),RAND()*10+10)</f>
        <v>1.6666666666666666E-3</v>
      </c>
      <c r="B9" s="140">
        <f t="shared" ref="B9:B23" si="0">C9*0.07065</f>
        <v>4.9455</v>
      </c>
      <c r="C9" s="20">
        <v>70</v>
      </c>
      <c r="D9" s="149">
        <v>0.44</v>
      </c>
      <c r="E9" s="22">
        <v>0.52</v>
      </c>
      <c r="F9" s="150">
        <f t="shared" ref="F9:F23" si="1">IFERROR((D9+E9)/2," ")</f>
        <v>0.48</v>
      </c>
      <c r="G9" s="23">
        <f>F9-$F$7</f>
        <v>0.48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0.62</v>
      </c>
      <c r="T9" s="133">
        <f t="shared" si="2"/>
        <v>0.57999999999999996</v>
      </c>
    </row>
    <row r="10" spans="1:20" ht="14.25" customHeight="1">
      <c r="A10" s="144">
        <f ca="1">A9+TIME(,RAND()*1+(1-0),RAND()*10+5)</f>
        <v>2.5000000000000001E-3</v>
      </c>
      <c r="B10" s="140">
        <f t="shared" si="0"/>
        <v>7.4182500000000005</v>
      </c>
      <c r="C10" s="20">
        <v>105</v>
      </c>
      <c r="D10" s="149">
        <v>0.73</v>
      </c>
      <c r="E10" s="22">
        <v>0.77</v>
      </c>
      <c r="F10" s="150">
        <f t="shared" si="1"/>
        <v>0.75</v>
      </c>
      <c r="G10" s="23">
        <f t="shared" ref="G10:G23" si="3">F10-$F$7</f>
        <v>0.75</v>
      </c>
      <c r="H10" s="217"/>
      <c r="I10" s="218"/>
      <c r="J10" s="219"/>
      <c r="K10" s="24" t="s">
        <v>15</v>
      </c>
      <c r="L10" s="25">
        <v>0</v>
      </c>
      <c r="M10" s="62">
        <f>K13</f>
        <v>528</v>
      </c>
      <c r="N10" s="2"/>
      <c r="P10" s="3">
        <v>0.1</v>
      </c>
      <c r="Q10" s="3">
        <v>0.1</v>
      </c>
      <c r="S10" s="133">
        <f t="shared" si="2"/>
        <v>0.87</v>
      </c>
      <c r="T10" s="133">
        <f t="shared" si="2"/>
        <v>0.85</v>
      </c>
    </row>
    <row r="11" spans="1:20" ht="14.25" customHeight="1" thickBot="1">
      <c r="A11" s="144">
        <f ca="1">A10+TIME(,RAND()*1+(1-0),RAND()*10+5)</f>
        <v>3.3217592592592595E-3</v>
      </c>
      <c r="B11" s="140">
        <f t="shared" si="0"/>
        <v>9.891</v>
      </c>
      <c r="C11" s="20">
        <v>140</v>
      </c>
      <c r="D11" s="149">
        <v>1.06</v>
      </c>
      <c r="E11" s="22">
        <v>1.1599999999999999</v>
      </c>
      <c r="F11" s="150">
        <f t="shared" si="1"/>
        <v>1.1099999999999999</v>
      </c>
      <c r="G11" s="23">
        <f t="shared" si="3"/>
        <v>1.1099999999999999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1.26</v>
      </c>
      <c r="T11" s="133">
        <f t="shared" si="2"/>
        <v>1.21</v>
      </c>
    </row>
    <row r="12" spans="1:20" ht="14.25" customHeight="1" thickTop="1">
      <c r="A12" s="144">
        <f ca="1">A11+TIME(,RAND()*1+(1-0),RAND()*10+10)</f>
        <v>4.155092592592593E-3</v>
      </c>
      <c r="B12" s="140">
        <f t="shared" si="0"/>
        <v>12.363750000000001</v>
      </c>
      <c r="C12" s="20">
        <v>175</v>
      </c>
      <c r="D12" s="149">
        <v>1.26</v>
      </c>
      <c r="E12" s="22">
        <v>1.27</v>
      </c>
      <c r="F12" s="150">
        <f t="shared" si="1"/>
        <v>1.2650000000000001</v>
      </c>
      <c r="G12" s="23">
        <f t="shared" si="3"/>
        <v>1.2650000000000001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1.37</v>
      </c>
      <c r="T12" s="133">
        <f t="shared" si="2"/>
        <v>1.3650000000000002</v>
      </c>
    </row>
    <row r="13" spans="1:20" ht="14.25" customHeight="1">
      <c r="A13" s="144">
        <f ca="1">A12+TIME(,RAND()*1+(1-0),RAND()*10+10)</f>
        <v>4.9884259259259265E-3</v>
      </c>
      <c r="B13" s="140">
        <f t="shared" si="0"/>
        <v>14.836500000000001</v>
      </c>
      <c r="C13" s="20">
        <v>210</v>
      </c>
      <c r="D13" s="149">
        <v>1.38</v>
      </c>
      <c r="E13" s="22">
        <v>1.44</v>
      </c>
      <c r="F13" s="150">
        <f t="shared" si="1"/>
        <v>1.41</v>
      </c>
      <c r="G13" s="23">
        <f t="shared" si="3"/>
        <v>1.41</v>
      </c>
      <c r="H13" s="217" t="s">
        <v>16</v>
      </c>
      <c r="I13" s="218"/>
      <c r="J13" s="219" t="s">
        <v>23</v>
      </c>
      <c r="K13" s="30">
        <v>528</v>
      </c>
      <c r="L13" s="25">
        <f>M10</f>
        <v>528</v>
      </c>
      <c r="M13" s="26">
        <f>L13</f>
        <v>528</v>
      </c>
      <c r="N13" s="2"/>
      <c r="P13" s="3">
        <v>0.1</v>
      </c>
      <c r="Q13" s="3">
        <v>0.1</v>
      </c>
      <c r="S13" s="133">
        <f t="shared" si="2"/>
        <v>1.54</v>
      </c>
      <c r="T13" s="133">
        <f t="shared" si="2"/>
        <v>1.51</v>
      </c>
    </row>
    <row r="14" spans="1:20" ht="14.25" customHeight="1" thickBot="1">
      <c r="A14" s="144">
        <f ca="1">A13+TIME(,RAND()*1+(1-0),RAND()*10+10)</f>
        <v>5.844907407407408E-3</v>
      </c>
      <c r="B14" s="140">
        <f t="shared" si="0"/>
        <v>17.309250000000002</v>
      </c>
      <c r="C14" s="20">
        <v>245</v>
      </c>
      <c r="D14" s="149">
        <v>1.49</v>
      </c>
      <c r="E14" s="22">
        <v>1.56</v>
      </c>
      <c r="F14" s="150">
        <f t="shared" si="1"/>
        <v>1.5249999999999999</v>
      </c>
      <c r="G14" s="23">
        <f t="shared" si="3"/>
        <v>1.5249999999999999</v>
      </c>
      <c r="H14" s="217"/>
      <c r="I14" s="218"/>
      <c r="J14" s="219"/>
      <c r="K14" s="17">
        <f>K13/2.5</f>
        <v>211.2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1.6600000000000001</v>
      </c>
      <c r="T14" s="133">
        <f t="shared" si="2"/>
        <v>1.625</v>
      </c>
    </row>
    <row r="15" spans="1:20" ht="14.25" customHeight="1" thickTop="1" thickBot="1">
      <c r="A15" s="144">
        <f ca="1">A14+TIME(,RAND()*1+(1-0),RAND()*10+10)</f>
        <v>6.7245370370370375E-3</v>
      </c>
      <c r="B15" s="140">
        <f t="shared" si="0"/>
        <v>19.782</v>
      </c>
      <c r="C15" s="20">
        <v>280</v>
      </c>
      <c r="D15" s="149">
        <v>1.6</v>
      </c>
      <c r="E15" s="22">
        <v>1.67</v>
      </c>
      <c r="F15" s="150">
        <f t="shared" si="1"/>
        <v>1.635</v>
      </c>
      <c r="G15" s="23">
        <f t="shared" si="3"/>
        <v>1.635</v>
      </c>
      <c r="H15" s="217" t="s">
        <v>16</v>
      </c>
      <c r="I15" s="218"/>
      <c r="J15" s="220" t="s">
        <v>27</v>
      </c>
      <c r="K15" s="2">
        <f>ROUND(K14,1)*1.3</f>
        <v>274.56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1.77</v>
      </c>
      <c r="T15" s="133">
        <f t="shared" si="2"/>
        <v>1.7350000000000001</v>
      </c>
    </row>
    <row r="16" spans="1:20" ht="14.25" customHeight="1">
      <c r="A16" s="144">
        <f ca="1">A15+TIME(,RAND()*1+(1-0),RAND()*10+10)</f>
        <v>7.5810185185185191E-3</v>
      </c>
      <c r="B16" s="140">
        <f t="shared" si="0"/>
        <v>22.254750000000001</v>
      </c>
      <c r="C16" s="20">
        <v>315</v>
      </c>
      <c r="D16" s="149">
        <v>1.82</v>
      </c>
      <c r="E16" s="22">
        <v>1.83</v>
      </c>
      <c r="F16" s="150">
        <f t="shared" si="1"/>
        <v>1.8250000000000002</v>
      </c>
      <c r="G16" s="23">
        <f t="shared" si="3"/>
        <v>1.8250000000000002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8.3912037037037045E-3</v>
      </c>
      <c r="B17" s="140">
        <f t="shared" si="0"/>
        <v>24.727500000000003</v>
      </c>
      <c r="C17" s="20">
        <v>350</v>
      </c>
      <c r="D17" s="149">
        <v>2.0299999999999998</v>
      </c>
      <c r="E17" s="22">
        <v>2.0699999999999998</v>
      </c>
      <c r="F17" s="150">
        <f t="shared" si="1"/>
        <v>2.0499999999999998</v>
      </c>
      <c r="G17" s="23">
        <f t="shared" si="3"/>
        <v>2.0499999999999998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9.2013888888888892E-3</v>
      </c>
      <c r="B18" s="140">
        <f t="shared" si="0"/>
        <v>27.20025</v>
      </c>
      <c r="C18" s="20">
        <v>385</v>
      </c>
      <c r="D18" s="149">
        <v>2.14</v>
      </c>
      <c r="E18" s="22">
        <v>2.1800000000000002</v>
      </c>
      <c r="F18" s="150">
        <f t="shared" si="1"/>
        <v>2.16</v>
      </c>
      <c r="G18" s="23">
        <f t="shared" si="3"/>
        <v>2.16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1.0081018518518519E-2</v>
      </c>
      <c r="B19" s="140">
        <f t="shared" si="0"/>
        <v>29.673000000000002</v>
      </c>
      <c r="C19" s="20">
        <v>420</v>
      </c>
      <c r="D19" s="149">
        <v>2.23</v>
      </c>
      <c r="E19" s="22">
        <v>2.29</v>
      </c>
      <c r="F19" s="150">
        <f t="shared" si="1"/>
        <v>2.2599999999999998</v>
      </c>
      <c r="G19" s="23">
        <f t="shared" si="3"/>
        <v>2.2599999999999998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1.0937499999999999E-2</v>
      </c>
      <c r="B20" s="140">
        <f t="shared" si="0"/>
        <v>32.14575</v>
      </c>
      <c r="C20" s="20">
        <v>455</v>
      </c>
      <c r="D20" s="149">
        <v>2.29</v>
      </c>
      <c r="E20" s="22">
        <v>2.38</v>
      </c>
      <c r="F20" s="150">
        <f t="shared" si="1"/>
        <v>2.335</v>
      </c>
      <c r="G20" s="23">
        <f t="shared" si="3"/>
        <v>2.335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1.1840277777777778E-2</v>
      </c>
      <c r="B21" s="140">
        <f t="shared" si="0"/>
        <v>34.618500000000004</v>
      </c>
      <c r="C21" s="20">
        <v>490</v>
      </c>
      <c r="D21" s="149">
        <v>2.38</v>
      </c>
      <c r="E21" s="22">
        <v>2.4900000000000002</v>
      </c>
      <c r="F21" s="150">
        <f t="shared" si="1"/>
        <v>2.4350000000000001</v>
      </c>
      <c r="G21" s="23">
        <f t="shared" si="3"/>
        <v>2.4350000000000001</v>
      </c>
      <c r="H21" s="204" t="str">
        <f>"K30  = "&amp;ROUND(K13,1)&amp;"÷2.5"</f>
        <v>K30  = 528÷2.5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1.2743055555555556E-2</v>
      </c>
      <c r="B22" s="140">
        <f t="shared" si="0"/>
        <v>37.091250000000002</v>
      </c>
      <c r="C22" s="20">
        <v>525</v>
      </c>
      <c r="D22" s="149">
        <v>2.423</v>
      </c>
      <c r="E22" s="22">
        <v>2.6</v>
      </c>
      <c r="F22" s="150">
        <f t="shared" si="1"/>
        <v>2.5114999999999998</v>
      </c>
      <c r="G22" s="23">
        <f t="shared" si="3"/>
        <v>2.5114999999999998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1.3564814814814816E-2</v>
      </c>
      <c r="B23" s="140">
        <f t="shared" si="0"/>
        <v>39.564</v>
      </c>
      <c r="C23" s="20">
        <v>560</v>
      </c>
      <c r="D23" s="149">
        <v>2.5299999999999998</v>
      </c>
      <c r="E23" s="22">
        <v>2.67</v>
      </c>
      <c r="F23" s="150">
        <f t="shared" si="1"/>
        <v>2.5999999999999996</v>
      </c>
      <c r="G23" s="23">
        <f t="shared" si="3"/>
        <v>2.5999999999999996</v>
      </c>
      <c r="H23" s="212">
        <f>K14</f>
        <v>211.2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211.2×1.3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274.56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211.2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2ABA-6104-4C82-84D2-DC03862C8B04}">
  <dimension ref="A1:T66"/>
  <sheetViews>
    <sheetView view="pageBreakPreview" zoomScale="130" zoomScaleNormal="100" zoomScaleSheetLayoutView="13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List!B45</f>
        <v>46189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List!A45</f>
        <v>42</v>
      </c>
      <c r="C3" s="253"/>
      <c r="D3" s="253"/>
      <c r="E3" s="253"/>
      <c r="F3" s="45" t="s">
        <v>34</v>
      </c>
      <c r="G3" s="254" t="str">
        <f>List!C45</f>
        <v>중로(집) 3-16 (No.36 ~ No.50) 노체 18단(54층) - 1회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0.27</v>
      </c>
      <c r="E8" s="22">
        <v>0.41</v>
      </c>
      <c r="F8" s="150">
        <f>IFERROR((D8+E8)/2," ")</f>
        <v>0.33999999999999997</v>
      </c>
      <c r="G8" s="23">
        <f>F8-F7</f>
        <v>0.33999999999999997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0.51</v>
      </c>
      <c r="T8" s="133">
        <f>F8+Q8</f>
        <v>0.43999999999999995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3" si="0">C9*0.07065</f>
        <v>4.9455</v>
      </c>
      <c r="C9" s="20">
        <v>70</v>
      </c>
      <c r="D9" s="149">
        <v>0.41</v>
      </c>
      <c r="E9" s="22">
        <v>0.64</v>
      </c>
      <c r="F9" s="150">
        <f t="shared" ref="F9:F23" si="1">IFERROR((D9+E9)/2," ")</f>
        <v>0.52500000000000002</v>
      </c>
      <c r="G9" s="23">
        <f>F9-$F$7</f>
        <v>0.52500000000000002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0.74</v>
      </c>
      <c r="T9" s="133">
        <f t="shared" si="2"/>
        <v>0.625</v>
      </c>
    </row>
    <row r="10" spans="1:20" ht="14.25" customHeight="1">
      <c r="A10" s="144">
        <f ca="1">A9+TIME(,RAND()*1+(1-0),RAND()*10+5)</f>
        <v>2.3726851851851851E-3</v>
      </c>
      <c r="B10" s="140">
        <f t="shared" si="0"/>
        <v>7.4182500000000005</v>
      </c>
      <c r="C10" s="20">
        <v>105</v>
      </c>
      <c r="D10" s="149">
        <v>0.55000000000000004</v>
      </c>
      <c r="E10" s="22">
        <v>1.02</v>
      </c>
      <c r="F10" s="150">
        <f t="shared" si="1"/>
        <v>0.78500000000000003</v>
      </c>
      <c r="G10" s="23">
        <f t="shared" ref="G10:G23" si="3">F10-$F$7</f>
        <v>0.78500000000000003</v>
      </c>
      <c r="H10" s="217"/>
      <c r="I10" s="218"/>
      <c r="J10" s="219"/>
      <c r="K10" s="24" t="s">
        <v>15</v>
      </c>
      <c r="L10" s="25">
        <v>0</v>
      </c>
      <c r="M10" s="62">
        <f>K13</f>
        <v>533</v>
      </c>
      <c r="N10" s="2"/>
      <c r="P10" s="3">
        <v>0.1</v>
      </c>
      <c r="Q10" s="3">
        <v>0.1</v>
      </c>
      <c r="S10" s="133">
        <f t="shared" si="2"/>
        <v>1.1200000000000001</v>
      </c>
      <c r="T10" s="133">
        <f t="shared" si="2"/>
        <v>0.88500000000000001</v>
      </c>
    </row>
    <row r="11" spans="1:20" ht="14.25" customHeight="1" thickBot="1">
      <c r="A11" s="144">
        <f ca="1">A10+TIME(,RAND()*1+(1-0),RAND()*10+5)</f>
        <v>3.2291666666666666E-3</v>
      </c>
      <c r="B11" s="140">
        <f t="shared" si="0"/>
        <v>9.891</v>
      </c>
      <c r="C11" s="20">
        <v>140</v>
      </c>
      <c r="D11" s="149">
        <v>0.74</v>
      </c>
      <c r="E11" s="22">
        <v>1.32</v>
      </c>
      <c r="F11" s="150">
        <f t="shared" si="1"/>
        <v>1.03</v>
      </c>
      <c r="G11" s="23">
        <f t="shared" si="3"/>
        <v>1.03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1.4200000000000002</v>
      </c>
      <c r="T11" s="133">
        <f t="shared" si="2"/>
        <v>1.1300000000000001</v>
      </c>
    </row>
    <row r="12" spans="1:20" ht="14.25" customHeight="1" thickTop="1">
      <c r="A12" s="144">
        <f ca="1">A11+TIME(,RAND()*1+(1-0),RAND()*10+10)</f>
        <v>4.1435185185185186E-3</v>
      </c>
      <c r="B12" s="140">
        <f t="shared" si="0"/>
        <v>12.363750000000001</v>
      </c>
      <c r="C12" s="20">
        <v>175</v>
      </c>
      <c r="D12" s="149">
        <v>1.1100000000000001</v>
      </c>
      <c r="E12" s="22">
        <v>1.43</v>
      </c>
      <c r="F12" s="150">
        <f t="shared" si="1"/>
        <v>1.27</v>
      </c>
      <c r="G12" s="23">
        <f t="shared" si="3"/>
        <v>1.27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1.53</v>
      </c>
      <c r="T12" s="133">
        <f t="shared" si="2"/>
        <v>1.37</v>
      </c>
    </row>
    <row r="13" spans="1:20" ht="14.25" customHeight="1">
      <c r="A13" s="144">
        <f ca="1">A12+TIME(,RAND()*1+(1-0),RAND()*10+10)</f>
        <v>4.9537037037037041E-3</v>
      </c>
      <c r="B13" s="140">
        <f t="shared" si="0"/>
        <v>14.836500000000001</v>
      </c>
      <c r="C13" s="20">
        <v>210</v>
      </c>
      <c r="D13" s="149">
        <v>1.24</v>
      </c>
      <c r="E13" s="22">
        <v>1.55</v>
      </c>
      <c r="F13" s="150">
        <f t="shared" si="1"/>
        <v>1.395</v>
      </c>
      <c r="G13" s="23">
        <f t="shared" si="3"/>
        <v>1.395</v>
      </c>
      <c r="H13" s="217" t="s">
        <v>16</v>
      </c>
      <c r="I13" s="218"/>
      <c r="J13" s="219" t="s">
        <v>23</v>
      </c>
      <c r="K13" s="30">
        <v>533</v>
      </c>
      <c r="L13" s="25">
        <f>M10</f>
        <v>533</v>
      </c>
      <c r="M13" s="26">
        <f>L13</f>
        <v>533</v>
      </c>
      <c r="N13" s="2"/>
      <c r="P13" s="3">
        <v>0.1</v>
      </c>
      <c r="Q13" s="3">
        <v>0.1</v>
      </c>
      <c r="S13" s="133">
        <f t="shared" si="2"/>
        <v>1.6500000000000001</v>
      </c>
      <c r="T13" s="133">
        <f t="shared" si="2"/>
        <v>1.4950000000000001</v>
      </c>
    </row>
    <row r="14" spans="1:20" ht="14.25" customHeight="1" thickBot="1">
      <c r="A14" s="144">
        <f ca="1">A13+TIME(,RAND()*1+(1-0),RAND()*10+10)</f>
        <v>5.8101851851851856E-3</v>
      </c>
      <c r="B14" s="140">
        <f t="shared" si="0"/>
        <v>17.309250000000002</v>
      </c>
      <c r="C14" s="20">
        <v>245</v>
      </c>
      <c r="D14" s="149">
        <v>1.35</v>
      </c>
      <c r="E14" s="22">
        <v>1.69</v>
      </c>
      <c r="F14" s="150">
        <f t="shared" si="1"/>
        <v>1.52</v>
      </c>
      <c r="G14" s="23">
        <f t="shared" si="3"/>
        <v>1.52</v>
      </c>
      <c r="H14" s="217"/>
      <c r="I14" s="218"/>
      <c r="J14" s="219"/>
      <c r="K14" s="17">
        <f>K13/2.5</f>
        <v>213.2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1.79</v>
      </c>
      <c r="T14" s="133">
        <f t="shared" si="2"/>
        <v>1.62</v>
      </c>
    </row>
    <row r="15" spans="1:20" ht="14.25" customHeight="1" thickTop="1" thickBot="1">
      <c r="A15" s="144">
        <f ca="1">A14+TIME(,RAND()*1+(1-0),RAND()*10+10)</f>
        <v>6.6898148148148151E-3</v>
      </c>
      <c r="B15" s="140">
        <f t="shared" si="0"/>
        <v>19.782</v>
      </c>
      <c r="C15" s="20">
        <v>280</v>
      </c>
      <c r="D15" s="149">
        <v>1.49</v>
      </c>
      <c r="E15" s="22">
        <v>1.81</v>
      </c>
      <c r="F15" s="150">
        <f t="shared" si="1"/>
        <v>1.65</v>
      </c>
      <c r="G15" s="23">
        <f t="shared" si="3"/>
        <v>1.65</v>
      </c>
      <c r="H15" s="217" t="s">
        <v>16</v>
      </c>
      <c r="I15" s="218"/>
      <c r="J15" s="220" t="s">
        <v>27</v>
      </c>
      <c r="K15" s="2">
        <f>ROUND(K14,1)*1.3</f>
        <v>277.15999999999997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1.9100000000000001</v>
      </c>
      <c r="T15" s="133">
        <f t="shared" si="2"/>
        <v>1.75</v>
      </c>
    </row>
    <row r="16" spans="1:20" ht="14.25" customHeight="1">
      <c r="A16" s="144">
        <f ca="1">A15+TIME(,RAND()*1+(1-0),RAND()*10+10)</f>
        <v>7.5810185185185191E-3</v>
      </c>
      <c r="B16" s="140">
        <f t="shared" si="0"/>
        <v>22.254750000000001</v>
      </c>
      <c r="C16" s="20">
        <v>315</v>
      </c>
      <c r="D16" s="149">
        <v>1.6</v>
      </c>
      <c r="E16" s="22">
        <v>1.92</v>
      </c>
      <c r="F16" s="150">
        <f t="shared" si="1"/>
        <v>1.76</v>
      </c>
      <c r="G16" s="23">
        <f t="shared" si="3"/>
        <v>1.76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8.4027777777777781E-3</v>
      </c>
      <c r="B17" s="140">
        <f t="shared" si="0"/>
        <v>24.727500000000003</v>
      </c>
      <c r="C17" s="20">
        <v>350</v>
      </c>
      <c r="D17" s="149">
        <v>1.73</v>
      </c>
      <c r="E17" s="22">
        <v>2.02</v>
      </c>
      <c r="F17" s="150">
        <f t="shared" si="1"/>
        <v>1.875</v>
      </c>
      <c r="G17" s="23">
        <f t="shared" si="3"/>
        <v>1.875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9.2824074074074076E-3</v>
      </c>
      <c r="B18" s="140">
        <f t="shared" si="0"/>
        <v>27.20025</v>
      </c>
      <c r="C18" s="20">
        <v>385</v>
      </c>
      <c r="D18" s="149">
        <v>1.89</v>
      </c>
      <c r="E18" s="22">
        <v>2.1</v>
      </c>
      <c r="F18" s="150">
        <f t="shared" si="1"/>
        <v>1.9950000000000001</v>
      </c>
      <c r="G18" s="23">
        <f t="shared" si="3"/>
        <v>1.9950000000000001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1.019675925925926E-2</v>
      </c>
      <c r="B19" s="140">
        <f t="shared" si="0"/>
        <v>29.673000000000002</v>
      </c>
      <c r="C19" s="20">
        <v>420</v>
      </c>
      <c r="D19" s="149">
        <v>2.04</v>
      </c>
      <c r="E19" s="22">
        <v>2.2200000000000002</v>
      </c>
      <c r="F19" s="150">
        <f t="shared" si="1"/>
        <v>2.13</v>
      </c>
      <c r="G19" s="23">
        <f t="shared" si="3"/>
        <v>2.13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1.1006944444444444E-2</v>
      </c>
      <c r="B20" s="140">
        <f t="shared" si="0"/>
        <v>32.14575</v>
      </c>
      <c r="C20" s="20">
        <v>455</v>
      </c>
      <c r="D20" s="149">
        <v>2.19</v>
      </c>
      <c r="E20" s="22">
        <v>2.34</v>
      </c>
      <c r="F20" s="150">
        <f t="shared" si="1"/>
        <v>2.2649999999999997</v>
      </c>
      <c r="G20" s="23">
        <f t="shared" si="3"/>
        <v>2.2649999999999997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1.1817129629629629E-2</v>
      </c>
      <c r="B21" s="140">
        <f t="shared" si="0"/>
        <v>34.618500000000004</v>
      </c>
      <c r="C21" s="20">
        <v>490</v>
      </c>
      <c r="D21" s="149">
        <v>2.2999999999999998</v>
      </c>
      <c r="E21" s="22">
        <v>2.4500000000000002</v>
      </c>
      <c r="F21" s="150">
        <f t="shared" si="1"/>
        <v>2.375</v>
      </c>
      <c r="G21" s="23">
        <f t="shared" si="3"/>
        <v>2.375</v>
      </c>
      <c r="H21" s="204" t="str">
        <f>"K30  = "&amp;ROUND(K13,1)&amp;"÷2.5"</f>
        <v>K30  = 533÷2.5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1.2627314814814813E-2</v>
      </c>
      <c r="B22" s="140">
        <f t="shared" si="0"/>
        <v>37.091250000000002</v>
      </c>
      <c r="C22" s="20">
        <v>525</v>
      </c>
      <c r="D22" s="149">
        <v>2.48</v>
      </c>
      <c r="E22" s="22">
        <v>2.56</v>
      </c>
      <c r="F22" s="150">
        <f t="shared" si="1"/>
        <v>2.52</v>
      </c>
      <c r="G22" s="23">
        <f t="shared" si="3"/>
        <v>2.52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1.3460648148148147E-2</v>
      </c>
      <c r="B23" s="140">
        <f t="shared" si="0"/>
        <v>39.564</v>
      </c>
      <c r="C23" s="20">
        <v>560</v>
      </c>
      <c r="D23" s="149">
        <v>2.5499999999999998</v>
      </c>
      <c r="E23" s="22">
        <v>2.62</v>
      </c>
      <c r="F23" s="150">
        <f t="shared" si="1"/>
        <v>2.585</v>
      </c>
      <c r="G23" s="23">
        <f t="shared" si="3"/>
        <v>2.585</v>
      </c>
      <c r="H23" s="212">
        <f>K14</f>
        <v>213.2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213.2×1.3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277.15999999999997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213.2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E66E-70BA-4A2A-8821-F200448D710B}">
  <dimension ref="A1:T66"/>
  <sheetViews>
    <sheetView view="pageBreakPreview" zoomScale="115" zoomScaleNormal="100" zoomScaleSheetLayoutView="115" workbookViewId="0">
      <selection activeCell="E17" sqref="E17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List!B44</f>
        <v>46184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List!A44</f>
        <v>41</v>
      </c>
      <c r="C3" s="253"/>
      <c r="D3" s="253"/>
      <c r="E3" s="253"/>
      <c r="F3" s="45" t="s">
        <v>34</v>
      </c>
      <c r="G3" s="254" t="str">
        <f>List!C44</f>
        <v>중로(집) 3-16 (No.36 ~ No.50) 노체 17단(51층) - 2회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7.6388888888888893E-4</v>
      </c>
      <c r="B8" s="140">
        <f>C8*0.07065</f>
        <v>2.47275</v>
      </c>
      <c r="C8" s="20">
        <v>35</v>
      </c>
      <c r="D8" s="149">
        <v>0.26</v>
      </c>
      <c r="E8" s="22">
        <v>0.27</v>
      </c>
      <c r="F8" s="150">
        <f>IFERROR((D8+E8)/2," ")</f>
        <v>0.26500000000000001</v>
      </c>
      <c r="G8" s="23">
        <f>F8-F7</f>
        <v>0.26500000000000001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0.37</v>
      </c>
      <c r="T8" s="133">
        <f>F8+Q8</f>
        <v>0.36499999999999999</v>
      </c>
    </row>
    <row r="9" spans="1:20" ht="14.25" customHeight="1" thickTop="1">
      <c r="A9" s="144">
        <f ca="1">A8+TIME(,RAND()*1+(1-0),RAND()*10+10)</f>
        <v>1.6435185185185185E-3</v>
      </c>
      <c r="B9" s="140">
        <f t="shared" ref="B9:B23" si="0">C9*0.07065</f>
        <v>4.9455</v>
      </c>
      <c r="C9" s="20">
        <v>70</v>
      </c>
      <c r="D9" s="149">
        <v>0.48</v>
      </c>
      <c r="E9" s="22">
        <v>0.52</v>
      </c>
      <c r="F9" s="150">
        <f t="shared" ref="F9:F23" si="1">IFERROR((D9+E9)/2," ")</f>
        <v>0.5</v>
      </c>
      <c r="G9" s="23">
        <f>F9-$F$7</f>
        <v>0.5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0.62</v>
      </c>
      <c r="T9" s="133">
        <f t="shared" si="2"/>
        <v>0.6</v>
      </c>
    </row>
    <row r="10" spans="1:20" ht="14.25" customHeight="1">
      <c r="A10" s="144">
        <f ca="1">A9+TIME(,RAND()*1+(1-0),RAND()*10+5)</f>
        <v>2.3958333333333331E-3</v>
      </c>
      <c r="B10" s="140">
        <f t="shared" si="0"/>
        <v>7.4182500000000005</v>
      </c>
      <c r="C10" s="20">
        <v>105</v>
      </c>
      <c r="D10" s="149">
        <v>0.75</v>
      </c>
      <c r="E10" s="22">
        <v>0.82</v>
      </c>
      <c r="F10" s="150">
        <f t="shared" si="1"/>
        <v>0.78499999999999992</v>
      </c>
      <c r="G10" s="23">
        <f t="shared" ref="G10:G23" si="3">F10-$F$7</f>
        <v>0.78499999999999992</v>
      </c>
      <c r="H10" s="217"/>
      <c r="I10" s="218"/>
      <c r="J10" s="219"/>
      <c r="K10" s="24" t="s">
        <v>15</v>
      </c>
      <c r="L10" s="25">
        <v>0</v>
      </c>
      <c r="M10" s="62">
        <f>K13</f>
        <v>526</v>
      </c>
      <c r="N10" s="2"/>
      <c r="P10" s="3">
        <v>0.1</v>
      </c>
      <c r="Q10" s="3">
        <v>0.1</v>
      </c>
      <c r="S10" s="133">
        <f t="shared" si="2"/>
        <v>0.91999999999999993</v>
      </c>
      <c r="T10" s="133">
        <f t="shared" si="2"/>
        <v>0.8849999999999999</v>
      </c>
    </row>
    <row r="11" spans="1:20" ht="14.25" customHeight="1" thickBot="1">
      <c r="A11" s="144">
        <f ca="1">A10+TIME(,RAND()*1+(1-0),RAND()*10+5)</f>
        <v>3.1597222222222222E-3</v>
      </c>
      <c r="B11" s="140">
        <f t="shared" si="0"/>
        <v>9.891</v>
      </c>
      <c r="C11" s="20">
        <v>140</v>
      </c>
      <c r="D11" s="149">
        <v>0.88</v>
      </c>
      <c r="E11" s="22">
        <v>1.24</v>
      </c>
      <c r="F11" s="150">
        <f t="shared" si="1"/>
        <v>1.06</v>
      </c>
      <c r="G11" s="23">
        <f t="shared" si="3"/>
        <v>1.06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1.34</v>
      </c>
      <c r="T11" s="133">
        <f t="shared" si="2"/>
        <v>1.1600000000000001</v>
      </c>
    </row>
    <row r="12" spans="1:20" ht="14.25" customHeight="1" thickTop="1">
      <c r="A12" s="144">
        <f ca="1">A11+TIME(,RAND()*1+(1-0),RAND()*10+10)</f>
        <v>4.0509259259259257E-3</v>
      </c>
      <c r="B12" s="140">
        <f t="shared" si="0"/>
        <v>12.363750000000001</v>
      </c>
      <c r="C12" s="20">
        <v>175</v>
      </c>
      <c r="D12" s="149">
        <v>1.1499999999999999</v>
      </c>
      <c r="E12" s="22">
        <v>1.51</v>
      </c>
      <c r="F12" s="150">
        <f t="shared" si="1"/>
        <v>1.33</v>
      </c>
      <c r="G12" s="23">
        <f t="shared" si="3"/>
        <v>1.33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1.61</v>
      </c>
      <c r="T12" s="133">
        <f t="shared" si="2"/>
        <v>1.4300000000000002</v>
      </c>
    </row>
    <row r="13" spans="1:20" ht="14.25" customHeight="1">
      <c r="A13" s="144">
        <f ca="1">A12+TIME(,RAND()*1+(1-0),RAND()*10+10)</f>
        <v>4.9421296296296297E-3</v>
      </c>
      <c r="B13" s="140">
        <f t="shared" si="0"/>
        <v>14.836500000000001</v>
      </c>
      <c r="C13" s="20">
        <v>210</v>
      </c>
      <c r="D13" s="149">
        <v>1.26</v>
      </c>
      <c r="E13" s="22">
        <v>1.61</v>
      </c>
      <c r="F13" s="150">
        <f t="shared" si="1"/>
        <v>1.4350000000000001</v>
      </c>
      <c r="G13" s="23">
        <f t="shared" si="3"/>
        <v>1.4350000000000001</v>
      </c>
      <c r="H13" s="217" t="s">
        <v>16</v>
      </c>
      <c r="I13" s="218"/>
      <c r="J13" s="219" t="s">
        <v>23</v>
      </c>
      <c r="K13" s="30">
        <v>526</v>
      </c>
      <c r="L13" s="25">
        <f>M10</f>
        <v>526</v>
      </c>
      <c r="M13" s="26">
        <f>L13</f>
        <v>526</v>
      </c>
      <c r="N13" s="2"/>
      <c r="P13" s="3">
        <v>0.1</v>
      </c>
      <c r="Q13" s="3">
        <v>0.1</v>
      </c>
      <c r="S13" s="133">
        <f t="shared" si="2"/>
        <v>1.7100000000000002</v>
      </c>
      <c r="T13" s="133">
        <f t="shared" si="2"/>
        <v>1.5350000000000001</v>
      </c>
    </row>
    <row r="14" spans="1:20" ht="14.25" customHeight="1" thickBot="1">
      <c r="A14" s="144">
        <f ca="1">A13+TIME(,RAND()*1+(1-0),RAND()*10+10)</f>
        <v>5.7523148148148151E-3</v>
      </c>
      <c r="B14" s="140">
        <f t="shared" si="0"/>
        <v>17.309250000000002</v>
      </c>
      <c r="C14" s="20">
        <v>245</v>
      </c>
      <c r="D14" s="149">
        <v>1.36</v>
      </c>
      <c r="E14" s="22">
        <v>1.83</v>
      </c>
      <c r="F14" s="150">
        <f t="shared" si="1"/>
        <v>1.5950000000000002</v>
      </c>
      <c r="G14" s="23">
        <f t="shared" si="3"/>
        <v>1.5950000000000002</v>
      </c>
      <c r="H14" s="217"/>
      <c r="I14" s="218"/>
      <c r="J14" s="219"/>
      <c r="K14" s="17">
        <f>K13/2.5</f>
        <v>210.4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1.9300000000000002</v>
      </c>
      <c r="T14" s="133">
        <f t="shared" si="2"/>
        <v>1.6950000000000003</v>
      </c>
    </row>
    <row r="15" spans="1:20" ht="14.25" customHeight="1" thickTop="1" thickBot="1">
      <c r="A15" s="144">
        <f ca="1">A14+TIME(,RAND()*1+(1-0),RAND()*10+10)</f>
        <v>6.5972222222222222E-3</v>
      </c>
      <c r="B15" s="140">
        <f t="shared" si="0"/>
        <v>19.782</v>
      </c>
      <c r="C15" s="20">
        <v>280</v>
      </c>
      <c r="D15" s="149">
        <v>1.45</v>
      </c>
      <c r="E15" s="22">
        <v>1.98</v>
      </c>
      <c r="F15" s="150">
        <f t="shared" si="1"/>
        <v>1.7149999999999999</v>
      </c>
      <c r="G15" s="23">
        <f t="shared" si="3"/>
        <v>1.7149999999999999</v>
      </c>
      <c r="H15" s="217" t="s">
        <v>16</v>
      </c>
      <c r="I15" s="218"/>
      <c r="J15" s="220" t="s">
        <v>27</v>
      </c>
      <c r="K15" s="2">
        <f>ROUND(K14,1)*1.3</f>
        <v>273.52000000000004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2.08</v>
      </c>
      <c r="T15" s="133">
        <f t="shared" si="2"/>
        <v>1.8149999999999999</v>
      </c>
    </row>
    <row r="16" spans="1:20" ht="14.25" customHeight="1">
      <c r="A16" s="144">
        <f ca="1">A15+TIME(,RAND()*1+(1-0),RAND()*10+10)</f>
        <v>7.4537037037037037E-3</v>
      </c>
      <c r="B16" s="140">
        <f t="shared" si="0"/>
        <v>22.254750000000001</v>
      </c>
      <c r="C16" s="20">
        <v>315</v>
      </c>
      <c r="D16" s="149">
        <v>1.56</v>
      </c>
      <c r="E16" s="22">
        <v>2</v>
      </c>
      <c r="F16" s="150">
        <f t="shared" si="1"/>
        <v>1.78</v>
      </c>
      <c r="G16" s="23">
        <f t="shared" si="3"/>
        <v>1.78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8.2870370370370372E-3</v>
      </c>
      <c r="B17" s="140">
        <f t="shared" si="0"/>
        <v>24.727500000000003</v>
      </c>
      <c r="C17" s="20">
        <v>350</v>
      </c>
      <c r="D17" s="149">
        <v>1.75</v>
      </c>
      <c r="E17" s="22">
        <v>2.0099999999999998</v>
      </c>
      <c r="F17" s="150">
        <f t="shared" si="1"/>
        <v>1.88</v>
      </c>
      <c r="G17" s="23">
        <f t="shared" si="3"/>
        <v>1.88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9.1782407407407403E-3</v>
      </c>
      <c r="B18" s="140">
        <f t="shared" si="0"/>
        <v>27.20025</v>
      </c>
      <c r="C18" s="20">
        <v>385</v>
      </c>
      <c r="D18" s="149">
        <v>1.84</v>
      </c>
      <c r="E18" s="22">
        <v>2.23</v>
      </c>
      <c r="F18" s="150">
        <f t="shared" si="1"/>
        <v>2.0350000000000001</v>
      </c>
      <c r="G18" s="23">
        <f t="shared" si="3"/>
        <v>2.0350000000000001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1.0011574074074074E-2</v>
      </c>
      <c r="B19" s="140">
        <f t="shared" si="0"/>
        <v>29.673000000000002</v>
      </c>
      <c r="C19" s="20">
        <v>420</v>
      </c>
      <c r="D19" s="149">
        <v>1.94</v>
      </c>
      <c r="E19" s="22">
        <v>2.42</v>
      </c>
      <c r="F19" s="150">
        <f t="shared" si="1"/>
        <v>2.1799999999999997</v>
      </c>
      <c r="G19" s="23">
        <f t="shared" si="3"/>
        <v>2.1799999999999997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1.0914351851851852E-2</v>
      </c>
      <c r="B20" s="140">
        <f t="shared" si="0"/>
        <v>32.14575</v>
      </c>
      <c r="C20" s="20">
        <v>455</v>
      </c>
      <c r="D20" s="149">
        <v>2.06</v>
      </c>
      <c r="E20" s="22">
        <v>2.52</v>
      </c>
      <c r="F20" s="150">
        <f t="shared" si="1"/>
        <v>2.29</v>
      </c>
      <c r="G20" s="23">
        <f t="shared" si="3"/>
        <v>2.29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1.1782407407407408E-2</v>
      </c>
      <c r="B21" s="140">
        <f t="shared" si="0"/>
        <v>34.618500000000004</v>
      </c>
      <c r="C21" s="20">
        <v>490</v>
      </c>
      <c r="D21" s="149">
        <v>2.1800000000000002</v>
      </c>
      <c r="E21" s="22">
        <v>2.63</v>
      </c>
      <c r="F21" s="150">
        <f t="shared" si="1"/>
        <v>2.4050000000000002</v>
      </c>
      <c r="G21" s="23">
        <f t="shared" si="3"/>
        <v>2.4050000000000002</v>
      </c>
      <c r="H21" s="204" t="str">
        <f>"K30  = "&amp;ROUND(K13,1)&amp;"÷2.5"</f>
        <v>K30  = 526÷2.5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1.2650462962962964E-2</v>
      </c>
      <c r="B22" s="140">
        <f t="shared" si="0"/>
        <v>37.091250000000002</v>
      </c>
      <c r="C22" s="20">
        <v>525</v>
      </c>
      <c r="D22" s="149">
        <v>2.29</v>
      </c>
      <c r="E22" s="22">
        <v>2.73</v>
      </c>
      <c r="F22" s="150">
        <f t="shared" si="1"/>
        <v>2.5099999999999998</v>
      </c>
      <c r="G22" s="23">
        <f t="shared" si="3"/>
        <v>2.5099999999999998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1.3460648148148149E-2</v>
      </c>
      <c r="B23" s="140">
        <f t="shared" si="0"/>
        <v>39.564</v>
      </c>
      <c r="C23" s="20">
        <v>560</v>
      </c>
      <c r="D23" s="149">
        <v>2.38</v>
      </c>
      <c r="E23" s="22">
        <v>2.81</v>
      </c>
      <c r="F23" s="150">
        <f t="shared" si="1"/>
        <v>2.5949999999999998</v>
      </c>
      <c r="G23" s="23">
        <f t="shared" si="3"/>
        <v>2.5949999999999998</v>
      </c>
      <c r="H23" s="212">
        <f>K14</f>
        <v>210.4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210.4×1.3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273.52000000000004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210.4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1886-D69E-45EE-9231-D12DFB07F010}">
  <dimension ref="A1:T66"/>
  <sheetViews>
    <sheetView view="pageBreakPreview" topLeftCell="A3" zoomScaleNormal="100" zoomScaleSheetLayoutView="10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List!B43</f>
        <v>46184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List!A43</f>
        <v>40</v>
      </c>
      <c r="C3" s="253"/>
      <c r="D3" s="253"/>
      <c r="E3" s="253"/>
      <c r="F3" s="45" t="s">
        <v>34</v>
      </c>
      <c r="G3" s="254" t="str">
        <f>List!C43</f>
        <v>중로(집) 3-16 (No.36 ~ No.50) 노체 17단(51층) - 1회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0.34</v>
      </c>
      <c r="E8" s="22">
        <v>0.4</v>
      </c>
      <c r="F8" s="150">
        <f>IFERROR((D8+E8)/2," ")</f>
        <v>0.37</v>
      </c>
      <c r="G8" s="23">
        <f>F8-F7</f>
        <v>0.37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0.5</v>
      </c>
      <c r="T8" s="133">
        <f>F8+Q8</f>
        <v>0.47</v>
      </c>
    </row>
    <row r="9" spans="1:20" ht="14.25" customHeight="1" thickTop="1">
      <c r="A9" s="144">
        <f ca="1">A8+TIME(,RAND()*1+(1-0),RAND()*10+10)</f>
        <v>1.5509259259259259E-3</v>
      </c>
      <c r="B9" s="140">
        <f t="shared" ref="B9:B23" si="0">C9*0.07065</f>
        <v>4.9455</v>
      </c>
      <c r="C9" s="20">
        <v>70</v>
      </c>
      <c r="D9" s="149">
        <v>0.49</v>
      </c>
      <c r="E9" s="22">
        <v>0.7</v>
      </c>
      <c r="F9" s="150">
        <f t="shared" ref="F9:F23" si="1">IFERROR((D9+E9)/2," ")</f>
        <v>0.59499999999999997</v>
      </c>
      <c r="G9" s="23">
        <f>F9-$F$7</f>
        <v>0.59499999999999997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0.79999999999999993</v>
      </c>
      <c r="T9" s="133">
        <f t="shared" si="2"/>
        <v>0.69499999999999995</v>
      </c>
    </row>
    <row r="10" spans="1:20" ht="14.25" customHeight="1">
      <c r="A10" s="144">
        <f ca="1">A9+TIME(,RAND()*1+(1-0),RAND()*10+5)</f>
        <v>2.3032407407407407E-3</v>
      </c>
      <c r="B10" s="140">
        <f t="shared" si="0"/>
        <v>7.4182500000000005</v>
      </c>
      <c r="C10" s="20">
        <v>105</v>
      </c>
      <c r="D10" s="149">
        <v>0.91</v>
      </c>
      <c r="E10" s="22">
        <v>1.04</v>
      </c>
      <c r="F10" s="150">
        <f t="shared" si="1"/>
        <v>0.97500000000000009</v>
      </c>
      <c r="G10" s="23">
        <f t="shared" ref="G10:G23" si="3">F10-$F$7</f>
        <v>0.97500000000000009</v>
      </c>
      <c r="H10" s="217"/>
      <c r="I10" s="218"/>
      <c r="J10" s="219"/>
      <c r="K10" s="24" t="s">
        <v>15</v>
      </c>
      <c r="L10" s="25">
        <v>0</v>
      </c>
      <c r="M10" s="62">
        <f>K13</f>
        <v>512</v>
      </c>
      <c r="N10" s="2"/>
      <c r="P10" s="3">
        <v>0.1</v>
      </c>
      <c r="Q10" s="3">
        <v>0.1</v>
      </c>
      <c r="S10" s="133">
        <f t="shared" si="2"/>
        <v>1.1400000000000001</v>
      </c>
      <c r="T10" s="133">
        <f t="shared" si="2"/>
        <v>1.0750000000000002</v>
      </c>
    </row>
    <row r="11" spans="1:20" ht="14.25" customHeight="1" thickBot="1">
      <c r="A11" s="144">
        <f ca="1">A10+TIME(,RAND()*1+(1-0),RAND()*10+5)</f>
        <v>3.0902777777777777E-3</v>
      </c>
      <c r="B11" s="140">
        <f t="shared" si="0"/>
        <v>9.891</v>
      </c>
      <c r="C11" s="20">
        <v>140</v>
      </c>
      <c r="D11" s="149">
        <v>1.02</v>
      </c>
      <c r="E11" s="22">
        <v>1.18</v>
      </c>
      <c r="F11" s="150">
        <f t="shared" si="1"/>
        <v>1.1000000000000001</v>
      </c>
      <c r="G11" s="23">
        <f t="shared" si="3"/>
        <v>1.1000000000000001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1.28</v>
      </c>
      <c r="T11" s="133">
        <f t="shared" si="2"/>
        <v>1.2000000000000002</v>
      </c>
    </row>
    <row r="12" spans="1:20" ht="14.25" customHeight="1" thickTop="1">
      <c r="A12" s="144">
        <f ca="1">A11+TIME(,RAND()*1+(1-0),RAND()*10+10)</f>
        <v>3.9120370370370368E-3</v>
      </c>
      <c r="B12" s="140">
        <f t="shared" si="0"/>
        <v>12.363750000000001</v>
      </c>
      <c r="C12" s="20">
        <v>175</v>
      </c>
      <c r="D12" s="149">
        <v>1.1000000000000001</v>
      </c>
      <c r="E12" s="22">
        <v>1.37</v>
      </c>
      <c r="F12" s="150">
        <f t="shared" si="1"/>
        <v>1.2350000000000001</v>
      </c>
      <c r="G12" s="23">
        <f t="shared" si="3"/>
        <v>1.2350000000000001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1.4700000000000002</v>
      </c>
      <c r="T12" s="133">
        <f t="shared" si="2"/>
        <v>1.3350000000000002</v>
      </c>
    </row>
    <row r="13" spans="1:20" ht="14.25" customHeight="1">
      <c r="A13" s="144">
        <f ca="1">A12+TIME(,RAND()*1+(1-0),RAND()*10+10)</f>
        <v>4.7800925925925927E-3</v>
      </c>
      <c r="B13" s="140">
        <f t="shared" si="0"/>
        <v>14.836500000000001</v>
      </c>
      <c r="C13" s="20">
        <v>210</v>
      </c>
      <c r="D13" s="149">
        <v>1.1399999999999999</v>
      </c>
      <c r="E13" s="22">
        <v>1.43</v>
      </c>
      <c r="F13" s="150">
        <f t="shared" si="1"/>
        <v>1.2849999999999999</v>
      </c>
      <c r="G13" s="23">
        <f t="shared" si="3"/>
        <v>1.2849999999999999</v>
      </c>
      <c r="H13" s="217" t="s">
        <v>16</v>
      </c>
      <c r="I13" s="218"/>
      <c r="J13" s="219" t="s">
        <v>23</v>
      </c>
      <c r="K13" s="30">
        <v>512</v>
      </c>
      <c r="L13" s="25">
        <f>M10</f>
        <v>512</v>
      </c>
      <c r="M13" s="26">
        <f>L13</f>
        <v>512</v>
      </c>
      <c r="N13" s="2"/>
      <c r="P13" s="3">
        <v>0.1</v>
      </c>
      <c r="Q13" s="3">
        <v>0.1</v>
      </c>
      <c r="S13" s="133">
        <f t="shared" si="2"/>
        <v>1.53</v>
      </c>
      <c r="T13" s="133">
        <f t="shared" si="2"/>
        <v>1.385</v>
      </c>
    </row>
    <row r="14" spans="1:20" ht="14.25" customHeight="1" thickBot="1">
      <c r="A14" s="144">
        <f ca="1">A13+TIME(,RAND()*1+(1-0),RAND()*10+10)</f>
        <v>5.6828703703703702E-3</v>
      </c>
      <c r="B14" s="140">
        <f t="shared" si="0"/>
        <v>17.309250000000002</v>
      </c>
      <c r="C14" s="20">
        <v>245</v>
      </c>
      <c r="D14" s="149">
        <v>1.29</v>
      </c>
      <c r="E14" s="22">
        <v>1.49</v>
      </c>
      <c r="F14" s="150">
        <f t="shared" si="1"/>
        <v>1.3900000000000001</v>
      </c>
      <c r="G14" s="23">
        <f t="shared" si="3"/>
        <v>1.3900000000000001</v>
      </c>
      <c r="H14" s="217"/>
      <c r="I14" s="218"/>
      <c r="J14" s="219"/>
      <c r="K14" s="17">
        <f>K13/2.5</f>
        <v>204.8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1.59</v>
      </c>
      <c r="T14" s="133">
        <f t="shared" si="2"/>
        <v>1.4900000000000002</v>
      </c>
    </row>
    <row r="15" spans="1:20" ht="14.25" customHeight="1" thickTop="1" thickBot="1">
      <c r="A15" s="144">
        <f ca="1">A14+TIME(,RAND()*1+(1-0),RAND()*10+10)</f>
        <v>6.5277777777777773E-3</v>
      </c>
      <c r="B15" s="140">
        <f t="shared" si="0"/>
        <v>19.782</v>
      </c>
      <c r="C15" s="20">
        <v>280</v>
      </c>
      <c r="D15" s="149">
        <v>1.39</v>
      </c>
      <c r="E15" s="22">
        <v>1.63</v>
      </c>
      <c r="F15" s="150">
        <f t="shared" si="1"/>
        <v>1.5099999999999998</v>
      </c>
      <c r="G15" s="23">
        <f t="shared" si="3"/>
        <v>1.5099999999999998</v>
      </c>
      <c r="H15" s="217" t="s">
        <v>16</v>
      </c>
      <c r="I15" s="218"/>
      <c r="J15" s="220" t="s">
        <v>27</v>
      </c>
      <c r="K15" s="2">
        <f>ROUND(K14,1)*1.3</f>
        <v>266.24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1.73</v>
      </c>
      <c r="T15" s="133">
        <f t="shared" si="2"/>
        <v>1.6099999999999999</v>
      </c>
    </row>
    <row r="16" spans="1:20" ht="14.25" customHeight="1">
      <c r="A16" s="144">
        <f ca="1">A15+TIME(,RAND()*1+(1-0),RAND()*10+10)</f>
        <v>7.4074074074074068E-3</v>
      </c>
      <c r="B16" s="140">
        <f t="shared" si="0"/>
        <v>22.254750000000001</v>
      </c>
      <c r="C16" s="20">
        <v>315</v>
      </c>
      <c r="D16" s="149">
        <v>1.59</v>
      </c>
      <c r="E16" s="22">
        <v>1.88</v>
      </c>
      <c r="F16" s="150">
        <f t="shared" si="1"/>
        <v>1.7349999999999999</v>
      </c>
      <c r="G16" s="23">
        <f t="shared" si="3"/>
        <v>1.7349999999999999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8.2870370370370372E-3</v>
      </c>
      <c r="B17" s="140">
        <f t="shared" si="0"/>
        <v>24.727500000000003</v>
      </c>
      <c r="C17" s="20">
        <v>350</v>
      </c>
      <c r="D17" s="149">
        <v>1.73</v>
      </c>
      <c r="E17" s="22">
        <v>2.06</v>
      </c>
      <c r="F17" s="150">
        <f t="shared" si="1"/>
        <v>1.895</v>
      </c>
      <c r="G17" s="23">
        <f t="shared" si="3"/>
        <v>1.895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9.1898148148148156E-3</v>
      </c>
      <c r="B18" s="140">
        <f t="shared" si="0"/>
        <v>27.20025</v>
      </c>
      <c r="C18" s="20">
        <v>385</v>
      </c>
      <c r="D18" s="149">
        <v>1.89</v>
      </c>
      <c r="E18" s="22">
        <v>2.1</v>
      </c>
      <c r="F18" s="150">
        <f t="shared" si="1"/>
        <v>1.9950000000000001</v>
      </c>
      <c r="G18" s="23">
        <f t="shared" si="3"/>
        <v>1.9950000000000001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1.0034722222222223E-2</v>
      </c>
      <c r="B19" s="140">
        <f t="shared" si="0"/>
        <v>29.673000000000002</v>
      </c>
      <c r="C19" s="20">
        <v>420</v>
      </c>
      <c r="D19" s="149">
        <v>2.04</v>
      </c>
      <c r="E19" s="22">
        <v>2.36</v>
      </c>
      <c r="F19" s="150">
        <f t="shared" si="1"/>
        <v>2.2000000000000002</v>
      </c>
      <c r="G19" s="23">
        <f t="shared" si="3"/>
        <v>2.2000000000000002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1.0844907407407407E-2</v>
      </c>
      <c r="B20" s="140">
        <f t="shared" si="0"/>
        <v>32.14575</v>
      </c>
      <c r="C20" s="20">
        <v>455</v>
      </c>
      <c r="D20" s="149">
        <v>2.16</v>
      </c>
      <c r="E20" s="22">
        <v>2.4</v>
      </c>
      <c r="F20" s="150">
        <f t="shared" si="1"/>
        <v>2.2800000000000002</v>
      </c>
      <c r="G20" s="23">
        <f t="shared" si="3"/>
        <v>2.2800000000000002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1.1666666666666667E-2</v>
      </c>
      <c r="B21" s="140">
        <f t="shared" si="0"/>
        <v>34.618500000000004</v>
      </c>
      <c r="C21" s="20">
        <v>490</v>
      </c>
      <c r="D21" s="149">
        <v>2.35</v>
      </c>
      <c r="E21" s="22">
        <v>2.58</v>
      </c>
      <c r="F21" s="150">
        <f t="shared" si="1"/>
        <v>2.4649999999999999</v>
      </c>
      <c r="G21" s="23">
        <f t="shared" si="3"/>
        <v>2.4649999999999999</v>
      </c>
      <c r="H21" s="204" t="str">
        <f>"K30  = "&amp;ROUND(K13,1)&amp;"÷2.5"</f>
        <v>K30  = 512÷2.5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1.2476851851851852E-2</v>
      </c>
      <c r="B22" s="140">
        <f t="shared" si="0"/>
        <v>37.091250000000002</v>
      </c>
      <c r="C22" s="20">
        <v>525</v>
      </c>
      <c r="D22" s="149">
        <v>2.44</v>
      </c>
      <c r="E22" s="22">
        <v>2.69</v>
      </c>
      <c r="F22" s="150">
        <f t="shared" si="1"/>
        <v>2.5649999999999999</v>
      </c>
      <c r="G22" s="23">
        <f t="shared" si="3"/>
        <v>2.5649999999999999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1.3287037037037036E-2</v>
      </c>
      <c r="B23" s="140">
        <f t="shared" si="0"/>
        <v>39.564</v>
      </c>
      <c r="C23" s="20">
        <v>560</v>
      </c>
      <c r="D23" s="149">
        <v>2.5099999999999998</v>
      </c>
      <c r="E23" s="22">
        <v>2.75</v>
      </c>
      <c r="F23" s="150">
        <f t="shared" si="1"/>
        <v>2.63</v>
      </c>
      <c r="G23" s="23">
        <f t="shared" si="3"/>
        <v>2.63</v>
      </c>
      <c r="H23" s="212">
        <f>K14</f>
        <v>204.8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204.8×1.3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266.24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204.8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B309-A18F-462C-AF4F-29D49F490781}">
  <dimension ref="A1:T66"/>
  <sheetViews>
    <sheetView view="pageBreakPreview" zoomScaleNormal="100" zoomScaleSheetLayoutView="10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List!B42</f>
        <v>46181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List!A42</f>
        <v>39</v>
      </c>
      <c r="C3" s="253"/>
      <c r="D3" s="253"/>
      <c r="E3" s="253"/>
      <c r="F3" s="45" t="s">
        <v>34</v>
      </c>
      <c r="G3" s="254" t="str">
        <f>List!C42</f>
        <v>중로(집) 3-16 (No.36 ~ No.50) 노체 16단(48층) - 2회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0.34</v>
      </c>
      <c r="E8" s="22">
        <v>0.45</v>
      </c>
      <c r="F8" s="150">
        <f>IFERROR((D8+E8)/2," ")</f>
        <v>0.39500000000000002</v>
      </c>
      <c r="G8" s="23">
        <f>F8-F7</f>
        <v>0.39500000000000002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0.55000000000000004</v>
      </c>
      <c r="T8" s="133">
        <f>F8+Q8</f>
        <v>0.495</v>
      </c>
    </row>
    <row r="9" spans="1:20" ht="14.25" customHeight="1" thickTop="1">
      <c r="A9" s="144">
        <f ca="1">A8+TIME(,RAND()*1+(1-0),RAND()*10+10)</f>
        <v>1.6319444444444445E-3</v>
      </c>
      <c r="B9" s="140">
        <f t="shared" ref="B9:B23" si="0">C9*0.07065</f>
        <v>4.9455</v>
      </c>
      <c r="C9" s="20">
        <v>70</v>
      </c>
      <c r="D9" s="149">
        <v>0.8</v>
      </c>
      <c r="E9" s="22">
        <v>0.56999999999999995</v>
      </c>
      <c r="F9" s="150">
        <f t="shared" ref="F9:F23" si="1">IFERROR((D9+E9)/2," ")</f>
        <v>0.68500000000000005</v>
      </c>
      <c r="G9" s="23">
        <f>F9-$F$7</f>
        <v>0.68500000000000005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0.66999999999999993</v>
      </c>
      <c r="T9" s="133">
        <f t="shared" si="2"/>
        <v>0.78500000000000003</v>
      </c>
    </row>
    <row r="10" spans="1:20" ht="14.25" customHeight="1">
      <c r="A10" s="144">
        <f ca="1">A9+TIME(,RAND()*1+(1-0),RAND()*10+5)</f>
        <v>2.4189814814814816E-3</v>
      </c>
      <c r="B10" s="140">
        <f t="shared" si="0"/>
        <v>7.4182500000000005</v>
      </c>
      <c r="C10" s="20">
        <v>105</v>
      </c>
      <c r="D10" s="149">
        <v>0.88</v>
      </c>
      <c r="E10" s="22">
        <v>0.87</v>
      </c>
      <c r="F10" s="150">
        <f t="shared" si="1"/>
        <v>0.875</v>
      </c>
      <c r="G10" s="23">
        <f t="shared" ref="G10:G23" si="3">F10-$F$7</f>
        <v>0.875</v>
      </c>
      <c r="H10" s="217"/>
      <c r="I10" s="218"/>
      <c r="J10" s="219"/>
      <c r="K10" s="24" t="s">
        <v>15</v>
      </c>
      <c r="L10" s="25">
        <v>0</v>
      </c>
      <c r="M10" s="62">
        <f>K13</f>
        <v>507</v>
      </c>
      <c r="N10" s="2"/>
      <c r="P10" s="3">
        <v>0.1</v>
      </c>
      <c r="Q10" s="3">
        <v>0.1</v>
      </c>
      <c r="S10" s="133">
        <f t="shared" si="2"/>
        <v>0.97</v>
      </c>
      <c r="T10" s="133">
        <f t="shared" si="2"/>
        <v>0.97499999999999998</v>
      </c>
    </row>
    <row r="11" spans="1:20" ht="14.25" customHeight="1" thickBot="1">
      <c r="A11" s="144">
        <f ca="1">A10+TIME(,RAND()*1+(1-0),RAND()*10+5)</f>
        <v>3.2754629629629631E-3</v>
      </c>
      <c r="B11" s="140">
        <f t="shared" si="0"/>
        <v>9.891</v>
      </c>
      <c r="C11" s="20">
        <v>140</v>
      </c>
      <c r="D11" s="149">
        <v>0.9</v>
      </c>
      <c r="E11" s="22">
        <v>1.01</v>
      </c>
      <c r="F11" s="150">
        <f t="shared" si="1"/>
        <v>0.95500000000000007</v>
      </c>
      <c r="G11" s="23">
        <f t="shared" si="3"/>
        <v>0.95500000000000007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1.1100000000000001</v>
      </c>
      <c r="T11" s="133">
        <f t="shared" si="2"/>
        <v>1.0550000000000002</v>
      </c>
    </row>
    <row r="12" spans="1:20" ht="14.25" customHeight="1" thickTop="1">
      <c r="A12" s="144">
        <f ca="1">A11+TIME(,RAND()*1+(1-0),RAND()*10+10)</f>
        <v>4.1203703703703706E-3</v>
      </c>
      <c r="B12" s="140">
        <f t="shared" si="0"/>
        <v>12.363750000000001</v>
      </c>
      <c r="C12" s="20">
        <v>175</v>
      </c>
      <c r="D12" s="149">
        <v>1.06</v>
      </c>
      <c r="E12" s="22">
        <v>1.43</v>
      </c>
      <c r="F12" s="150">
        <f t="shared" si="1"/>
        <v>1.2450000000000001</v>
      </c>
      <c r="G12" s="23">
        <f t="shared" si="3"/>
        <v>1.2450000000000001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1.53</v>
      </c>
      <c r="T12" s="133">
        <f t="shared" si="2"/>
        <v>1.3450000000000002</v>
      </c>
    </row>
    <row r="13" spans="1:20" ht="14.25" customHeight="1">
      <c r="A13" s="144">
        <f ca="1">A12+TIME(,RAND()*1+(1-0),RAND()*10+10)</f>
        <v>4.9305555555555561E-3</v>
      </c>
      <c r="B13" s="140">
        <f t="shared" si="0"/>
        <v>14.836500000000001</v>
      </c>
      <c r="C13" s="20">
        <v>210</v>
      </c>
      <c r="D13" s="149">
        <v>1.1399999999999999</v>
      </c>
      <c r="E13" s="22">
        <v>1.65</v>
      </c>
      <c r="F13" s="150">
        <f t="shared" si="1"/>
        <v>1.395</v>
      </c>
      <c r="G13" s="23">
        <f t="shared" si="3"/>
        <v>1.395</v>
      </c>
      <c r="H13" s="217" t="s">
        <v>16</v>
      </c>
      <c r="I13" s="218"/>
      <c r="J13" s="219" t="s">
        <v>23</v>
      </c>
      <c r="K13" s="30">
        <v>507</v>
      </c>
      <c r="L13" s="25">
        <f>M10</f>
        <v>507</v>
      </c>
      <c r="M13" s="26">
        <f>L13</f>
        <v>507</v>
      </c>
      <c r="N13" s="2"/>
      <c r="P13" s="3">
        <v>0.1</v>
      </c>
      <c r="Q13" s="3">
        <v>0.1</v>
      </c>
      <c r="S13" s="133">
        <f t="shared" si="2"/>
        <v>1.75</v>
      </c>
      <c r="T13" s="133">
        <f t="shared" si="2"/>
        <v>1.4950000000000001</v>
      </c>
    </row>
    <row r="14" spans="1:20" ht="14.25" customHeight="1" thickBot="1">
      <c r="A14" s="144">
        <f ca="1">A13+TIME(,RAND()*1+(1-0),RAND()*10+10)</f>
        <v>5.844907407407408E-3</v>
      </c>
      <c r="B14" s="140">
        <f t="shared" si="0"/>
        <v>17.309250000000002</v>
      </c>
      <c r="C14" s="20">
        <v>245</v>
      </c>
      <c r="D14" s="149">
        <v>1.3</v>
      </c>
      <c r="E14" s="22">
        <v>1.8</v>
      </c>
      <c r="F14" s="150">
        <f t="shared" si="1"/>
        <v>1.55</v>
      </c>
      <c r="G14" s="23">
        <f t="shared" si="3"/>
        <v>1.55</v>
      </c>
      <c r="H14" s="217"/>
      <c r="I14" s="218"/>
      <c r="J14" s="219"/>
      <c r="K14" s="17">
        <f>K13/2.5</f>
        <v>202.8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1.9000000000000001</v>
      </c>
      <c r="T14" s="133">
        <f t="shared" si="2"/>
        <v>1.6500000000000001</v>
      </c>
    </row>
    <row r="15" spans="1:20" ht="14.25" customHeight="1" thickTop="1" thickBot="1">
      <c r="A15" s="144">
        <f ca="1">A14+TIME(,RAND()*1+(1-0),RAND()*10+10)</f>
        <v>6.712962962962964E-3</v>
      </c>
      <c r="B15" s="140">
        <f t="shared" si="0"/>
        <v>19.782</v>
      </c>
      <c r="C15" s="20">
        <v>280</v>
      </c>
      <c r="D15" s="149">
        <v>1.5</v>
      </c>
      <c r="E15" s="22">
        <v>1.96</v>
      </c>
      <c r="F15" s="150">
        <f t="shared" si="1"/>
        <v>1.73</v>
      </c>
      <c r="G15" s="23">
        <f t="shared" si="3"/>
        <v>1.73</v>
      </c>
      <c r="H15" s="217" t="s">
        <v>16</v>
      </c>
      <c r="I15" s="218"/>
      <c r="J15" s="220" t="s">
        <v>27</v>
      </c>
      <c r="K15" s="2">
        <f>ROUND(K14,1)*1.3</f>
        <v>263.64000000000004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2.06</v>
      </c>
      <c r="T15" s="133">
        <f t="shared" si="2"/>
        <v>1.83</v>
      </c>
    </row>
    <row r="16" spans="1:20" ht="14.25" customHeight="1">
      <c r="A16" s="144">
        <f ca="1">A15+TIME(,RAND()*1+(1-0),RAND()*10+10)</f>
        <v>7.5694444444444455E-3</v>
      </c>
      <c r="B16" s="140">
        <f t="shared" si="0"/>
        <v>22.254750000000001</v>
      </c>
      <c r="C16" s="20">
        <v>315</v>
      </c>
      <c r="D16" s="149">
        <v>1.63</v>
      </c>
      <c r="E16" s="22">
        <v>2.0099999999999998</v>
      </c>
      <c r="F16" s="150">
        <f t="shared" si="1"/>
        <v>1.8199999999999998</v>
      </c>
      <c r="G16" s="23">
        <f t="shared" si="3"/>
        <v>1.8199999999999998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8.472222222222223E-3</v>
      </c>
      <c r="B17" s="140">
        <f t="shared" si="0"/>
        <v>24.727500000000003</v>
      </c>
      <c r="C17" s="20">
        <v>350</v>
      </c>
      <c r="D17" s="149">
        <v>1.84</v>
      </c>
      <c r="E17" s="22">
        <v>2.04</v>
      </c>
      <c r="F17" s="150">
        <f t="shared" si="1"/>
        <v>1.94</v>
      </c>
      <c r="G17" s="23">
        <f t="shared" si="3"/>
        <v>1.94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9.3171296296296301E-3</v>
      </c>
      <c r="B18" s="140">
        <f t="shared" si="0"/>
        <v>27.20025</v>
      </c>
      <c r="C18" s="20">
        <v>385</v>
      </c>
      <c r="D18" s="149">
        <v>1.92</v>
      </c>
      <c r="E18" s="22">
        <v>2.2000000000000002</v>
      </c>
      <c r="F18" s="150">
        <f t="shared" si="1"/>
        <v>2.06</v>
      </c>
      <c r="G18" s="23">
        <f t="shared" si="3"/>
        <v>2.06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1.0219907407407408E-2</v>
      </c>
      <c r="B19" s="140">
        <f t="shared" si="0"/>
        <v>29.673000000000002</v>
      </c>
      <c r="C19" s="20">
        <v>420</v>
      </c>
      <c r="D19" s="149">
        <v>2.11</v>
      </c>
      <c r="E19" s="22">
        <v>2.27</v>
      </c>
      <c r="F19" s="150">
        <f t="shared" si="1"/>
        <v>2.19</v>
      </c>
      <c r="G19" s="23">
        <f t="shared" si="3"/>
        <v>2.19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1.1053240740740742E-2</v>
      </c>
      <c r="B20" s="140">
        <f t="shared" si="0"/>
        <v>32.14575</v>
      </c>
      <c r="C20" s="20">
        <v>455</v>
      </c>
      <c r="D20" s="149">
        <v>2.2000000000000002</v>
      </c>
      <c r="E20" s="22">
        <v>2.35</v>
      </c>
      <c r="F20" s="150">
        <f t="shared" si="1"/>
        <v>2.2750000000000004</v>
      </c>
      <c r="G20" s="23">
        <f t="shared" si="3"/>
        <v>2.2750000000000004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1.195601851851852E-2</v>
      </c>
      <c r="B21" s="140">
        <f t="shared" si="0"/>
        <v>34.618500000000004</v>
      </c>
      <c r="C21" s="20">
        <v>490</v>
      </c>
      <c r="D21" s="149">
        <v>2.25</v>
      </c>
      <c r="E21" s="22">
        <v>2.48</v>
      </c>
      <c r="F21" s="150">
        <f t="shared" si="1"/>
        <v>2.3650000000000002</v>
      </c>
      <c r="G21" s="23">
        <f t="shared" si="3"/>
        <v>2.3650000000000002</v>
      </c>
      <c r="H21" s="204" t="str">
        <f>"K30  = "&amp;ROUND(K13,1)&amp;"÷2.5"</f>
        <v>K30  = 507÷2.5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1.2800925925925927E-2</v>
      </c>
      <c r="B22" s="140">
        <f t="shared" si="0"/>
        <v>37.091250000000002</v>
      </c>
      <c r="C22" s="20">
        <v>525</v>
      </c>
      <c r="D22" s="149">
        <v>2.4359999999999999</v>
      </c>
      <c r="E22" s="22">
        <v>2.823</v>
      </c>
      <c r="F22" s="150">
        <f t="shared" si="1"/>
        <v>2.6295000000000002</v>
      </c>
      <c r="G22" s="23">
        <f t="shared" si="3"/>
        <v>2.6295000000000002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1.3668981481481483E-2</v>
      </c>
      <c r="B23" s="140">
        <f t="shared" si="0"/>
        <v>39.564</v>
      </c>
      <c r="C23" s="20">
        <v>560</v>
      </c>
      <c r="D23" s="149">
        <v>2.5499999999999998</v>
      </c>
      <c r="E23" s="22">
        <v>2.93</v>
      </c>
      <c r="F23" s="150">
        <f t="shared" si="1"/>
        <v>2.74</v>
      </c>
      <c r="G23" s="23">
        <f t="shared" si="3"/>
        <v>2.74</v>
      </c>
      <c r="H23" s="212">
        <f>K14</f>
        <v>202.8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202.8×1.3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263.64000000000004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202.8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E3D9-2B32-4BD1-97F0-BB958C7FA468}">
  <dimension ref="A1:T66"/>
  <sheetViews>
    <sheetView view="pageBreakPreview" zoomScaleNormal="100" zoomScaleSheetLayoutView="10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List!B41</f>
        <v>46181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List!A41</f>
        <v>38</v>
      </c>
      <c r="C3" s="253"/>
      <c r="D3" s="253"/>
      <c r="E3" s="253"/>
      <c r="F3" s="45" t="s">
        <v>34</v>
      </c>
      <c r="G3" s="254" t="str">
        <f>List!C41</f>
        <v>중로(집) 3-16 (No.36 ~ No.50) 노체 16단(48층) - 1회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8.4490740740740739E-4</v>
      </c>
      <c r="B8" s="140">
        <f>C8*0.07065</f>
        <v>2.47275</v>
      </c>
      <c r="C8" s="20">
        <v>35</v>
      </c>
      <c r="D8" s="149">
        <v>0.19</v>
      </c>
      <c r="E8" s="22">
        <v>0.37</v>
      </c>
      <c r="F8" s="150">
        <f>IFERROR((D8+E8)/2," ")</f>
        <v>0.28000000000000003</v>
      </c>
      <c r="G8" s="23">
        <f>F8-F7</f>
        <v>0.28000000000000003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0.47</v>
      </c>
      <c r="T8" s="133">
        <f>F8+Q8</f>
        <v>0.38</v>
      </c>
    </row>
    <row r="9" spans="1:20" ht="14.25" customHeight="1" thickTop="1">
      <c r="A9" s="144">
        <f ca="1">A8+TIME(,RAND()*1+(1-0),RAND()*10+10)</f>
        <v>1.736111111111111E-3</v>
      </c>
      <c r="B9" s="140">
        <f t="shared" ref="B9:B23" si="0">C9*0.07065</f>
        <v>4.9455</v>
      </c>
      <c r="C9" s="20">
        <v>70</v>
      </c>
      <c r="D9" s="149">
        <v>0.53</v>
      </c>
      <c r="E9" s="22">
        <v>0.69</v>
      </c>
      <c r="F9" s="150">
        <f t="shared" ref="F9:F23" si="1">IFERROR((D9+E9)/2," ")</f>
        <v>0.61</v>
      </c>
      <c r="G9" s="23">
        <f>F9-$F$7</f>
        <v>0.61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0.78999999999999992</v>
      </c>
      <c r="T9" s="133">
        <f t="shared" si="2"/>
        <v>0.71</v>
      </c>
    </row>
    <row r="10" spans="1:20" ht="14.25" customHeight="1">
      <c r="A10" s="144">
        <f ca="1">A9+TIME(,RAND()*1+(1-0),RAND()*10+5)</f>
        <v>2.5925925925925925E-3</v>
      </c>
      <c r="B10" s="140">
        <f t="shared" si="0"/>
        <v>7.4182500000000005</v>
      </c>
      <c r="C10" s="20">
        <v>105</v>
      </c>
      <c r="D10" s="149">
        <v>0.82</v>
      </c>
      <c r="E10" s="22">
        <v>1.05</v>
      </c>
      <c r="F10" s="150">
        <f t="shared" si="1"/>
        <v>0.93500000000000005</v>
      </c>
      <c r="G10" s="23">
        <f t="shared" ref="G10:G23" si="3">F10-$F$7</f>
        <v>0.93500000000000005</v>
      </c>
      <c r="H10" s="217"/>
      <c r="I10" s="218"/>
      <c r="J10" s="219"/>
      <c r="K10" s="24" t="s">
        <v>15</v>
      </c>
      <c r="L10" s="25">
        <v>0</v>
      </c>
      <c r="M10" s="62">
        <f>K13</f>
        <v>502.5</v>
      </c>
      <c r="N10" s="2"/>
      <c r="P10" s="3">
        <v>0.1</v>
      </c>
      <c r="Q10" s="3">
        <v>0.1</v>
      </c>
      <c r="S10" s="133">
        <f t="shared" si="2"/>
        <v>1.1500000000000001</v>
      </c>
      <c r="T10" s="133">
        <f t="shared" si="2"/>
        <v>1.0350000000000001</v>
      </c>
    </row>
    <row r="11" spans="1:20" ht="14.25" customHeight="1" thickBot="1">
      <c r="A11" s="144">
        <f ca="1">A10+TIME(,RAND()*1+(1-0),RAND()*10+5)</f>
        <v>3.4375E-3</v>
      </c>
      <c r="B11" s="140">
        <f t="shared" si="0"/>
        <v>9.891</v>
      </c>
      <c r="C11" s="20">
        <v>140</v>
      </c>
      <c r="D11" s="149">
        <v>1.0900000000000001</v>
      </c>
      <c r="E11" s="22">
        <v>1.4</v>
      </c>
      <c r="F11" s="150">
        <f t="shared" si="1"/>
        <v>1.2450000000000001</v>
      </c>
      <c r="G11" s="23">
        <f t="shared" si="3"/>
        <v>1.2450000000000001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1.5</v>
      </c>
      <c r="T11" s="133">
        <f t="shared" si="2"/>
        <v>1.3450000000000002</v>
      </c>
    </row>
    <row r="12" spans="1:20" ht="14.25" customHeight="1" thickTop="1">
      <c r="A12" s="144">
        <f ca="1">A11+TIME(,RAND()*1+(1-0),RAND()*10+10)</f>
        <v>4.3055555555555555E-3</v>
      </c>
      <c r="B12" s="140">
        <f t="shared" si="0"/>
        <v>12.363750000000001</v>
      </c>
      <c r="C12" s="20">
        <v>175</v>
      </c>
      <c r="D12" s="149">
        <v>1.3</v>
      </c>
      <c r="E12" s="22">
        <v>1.49</v>
      </c>
      <c r="F12" s="150">
        <f t="shared" si="1"/>
        <v>1.395</v>
      </c>
      <c r="G12" s="23">
        <f t="shared" si="3"/>
        <v>1.395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1.59</v>
      </c>
      <c r="T12" s="133">
        <f t="shared" si="2"/>
        <v>1.4950000000000001</v>
      </c>
    </row>
    <row r="13" spans="1:20" ht="14.25" customHeight="1">
      <c r="A13" s="144">
        <f ca="1">A12+TIME(,RAND()*1+(1-0),RAND()*10+10)</f>
        <v>5.208333333333333E-3</v>
      </c>
      <c r="B13" s="140">
        <f t="shared" si="0"/>
        <v>14.836500000000001</v>
      </c>
      <c r="C13" s="20">
        <v>210</v>
      </c>
      <c r="D13" s="149">
        <v>1.51</v>
      </c>
      <c r="E13" s="22">
        <v>1.51</v>
      </c>
      <c r="F13" s="150">
        <f t="shared" si="1"/>
        <v>1.51</v>
      </c>
      <c r="G13" s="23">
        <f t="shared" si="3"/>
        <v>1.51</v>
      </c>
      <c r="H13" s="217" t="s">
        <v>16</v>
      </c>
      <c r="I13" s="218"/>
      <c r="J13" s="219" t="s">
        <v>23</v>
      </c>
      <c r="K13" s="30">
        <v>502.5</v>
      </c>
      <c r="L13" s="25">
        <f>M10</f>
        <v>502.5</v>
      </c>
      <c r="M13" s="26">
        <f>L13</f>
        <v>502.5</v>
      </c>
      <c r="N13" s="2"/>
      <c r="P13" s="3">
        <v>0.1</v>
      </c>
      <c r="Q13" s="3">
        <v>0.1</v>
      </c>
      <c r="S13" s="133">
        <f t="shared" si="2"/>
        <v>1.61</v>
      </c>
      <c r="T13" s="133">
        <f t="shared" si="2"/>
        <v>1.61</v>
      </c>
    </row>
    <row r="14" spans="1:20" ht="14.25" customHeight="1" thickBot="1">
      <c r="A14" s="144">
        <f ca="1">A13+TIME(,RAND()*1+(1-0),RAND()*10+10)</f>
        <v>6.0185185185185185E-3</v>
      </c>
      <c r="B14" s="140">
        <f t="shared" si="0"/>
        <v>17.309250000000002</v>
      </c>
      <c r="C14" s="20">
        <v>245</v>
      </c>
      <c r="D14" s="149">
        <v>1.67</v>
      </c>
      <c r="E14" s="22">
        <v>1.65</v>
      </c>
      <c r="F14" s="150">
        <f t="shared" si="1"/>
        <v>1.66</v>
      </c>
      <c r="G14" s="23">
        <f t="shared" si="3"/>
        <v>1.66</v>
      </c>
      <c r="H14" s="217"/>
      <c r="I14" s="218"/>
      <c r="J14" s="219"/>
      <c r="K14" s="17">
        <f>K13/2.5</f>
        <v>201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1.75</v>
      </c>
      <c r="T14" s="133">
        <f t="shared" si="2"/>
        <v>1.76</v>
      </c>
    </row>
    <row r="15" spans="1:20" ht="14.25" customHeight="1" thickTop="1" thickBot="1">
      <c r="A15" s="144">
        <f ca="1">A14+TIME(,RAND()*1+(1-0),RAND()*10+10)</f>
        <v>6.851851851851852E-3</v>
      </c>
      <c r="B15" s="140">
        <f t="shared" si="0"/>
        <v>19.782</v>
      </c>
      <c r="C15" s="20">
        <v>280</v>
      </c>
      <c r="D15" s="149">
        <v>1.77</v>
      </c>
      <c r="E15" s="22">
        <v>1.67</v>
      </c>
      <c r="F15" s="150">
        <f t="shared" si="1"/>
        <v>1.72</v>
      </c>
      <c r="G15" s="23">
        <f t="shared" si="3"/>
        <v>1.72</v>
      </c>
      <c r="H15" s="217" t="s">
        <v>16</v>
      </c>
      <c r="I15" s="218"/>
      <c r="J15" s="220" t="s">
        <v>27</v>
      </c>
      <c r="K15" s="2">
        <f>ROUND(K14,1)*1.3</f>
        <v>261.3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1.77</v>
      </c>
      <c r="T15" s="133">
        <f t="shared" si="2"/>
        <v>1.82</v>
      </c>
    </row>
    <row r="16" spans="1:20" ht="14.25" customHeight="1">
      <c r="A16" s="144">
        <f ca="1">A15+TIME(,RAND()*1+(1-0),RAND()*10+10)</f>
        <v>7.7083333333333335E-3</v>
      </c>
      <c r="B16" s="140">
        <f t="shared" si="0"/>
        <v>22.254750000000001</v>
      </c>
      <c r="C16" s="20">
        <v>315</v>
      </c>
      <c r="D16" s="149">
        <v>1.85</v>
      </c>
      <c r="E16" s="22">
        <v>1.84</v>
      </c>
      <c r="F16" s="150">
        <f t="shared" si="1"/>
        <v>1.8450000000000002</v>
      </c>
      <c r="G16" s="23">
        <f t="shared" si="3"/>
        <v>1.8450000000000002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8.5879629629629639E-3</v>
      </c>
      <c r="B17" s="140">
        <f t="shared" si="0"/>
        <v>24.727500000000003</v>
      </c>
      <c r="C17" s="20">
        <v>350</v>
      </c>
      <c r="D17" s="149">
        <v>1.94</v>
      </c>
      <c r="E17" s="22">
        <v>2.02</v>
      </c>
      <c r="F17" s="150">
        <f t="shared" si="1"/>
        <v>1.98</v>
      </c>
      <c r="G17" s="23">
        <f t="shared" si="3"/>
        <v>1.98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9.4097222222222238E-3</v>
      </c>
      <c r="B18" s="140">
        <f t="shared" si="0"/>
        <v>27.20025</v>
      </c>
      <c r="C18" s="20">
        <v>385</v>
      </c>
      <c r="D18" s="149">
        <v>2.09</v>
      </c>
      <c r="E18" s="22">
        <v>2.2799999999999998</v>
      </c>
      <c r="F18" s="150">
        <f t="shared" si="1"/>
        <v>2.1849999999999996</v>
      </c>
      <c r="G18" s="23">
        <f t="shared" si="3"/>
        <v>2.1849999999999996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1.0219907407407408E-2</v>
      </c>
      <c r="B19" s="140">
        <f t="shared" si="0"/>
        <v>29.673000000000002</v>
      </c>
      <c r="C19" s="20">
        <v>420</v>
      </c>
      <c r="D19" s="149">
        <v>2.1800000000000002</v>
      </c>
      <c r="E19" s="22">
        <v>2.36</v>
      </c>
      <c r="F19" s="150">
        <f t="shared" si="1"/>
        <v>2.27</v>
      </c>
      <c r="G19" s="23">
        <f t="shared" si="3"/>
        <v>2.27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1.1064814814814816E-2</v>
      </c>
      <c r="B20" s="140">
        <f t="shared" si="0"/>
        <v>32.14575</v>
      </c>
      <c r="C20" s="20">
        <v>455</v>
      </c>
      <c r="D20" s="149">
        <v>2.29</v>
      </c>
      <c r="E20" s="22">
        <v>2.4900000000000002</v>
      </c>
      <c r="F20" s="150">
        <f t="shared" si="1"/>
        <v>2.39</v>
      </c>
      <c r="G20" s="23">
        <f t="shared" si="3"/>
        <v>2.39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1.1967592592592594E-2</v>
      </c>
      <c r="B21" s="140">
        <f t="shared" si="0"/>
        <v>34.618500000000004</v>
      </c>
      <c r="C21" s="20">
        <v>490</v>
      </c>
      <c r="D21" s="149">
        <v>2.36</v>
      </c>
      <c r="E21" s="22">
        <v>2.65</v>
      </c>
      <c r="F21" s="150">
        <f t="shared" si="1"/>
        <v>2.5049999999999999</v>
      </c>
      <c r="G21" s="23">
        <f t="shared" si="3"/>
        <v>2.5049999999999999</v>
      </c>
      <c r="H21" s="204" t="str">
        <f>"K30  = "&amp;ROUND(K13,1)&amp;"÷2.5"</f>
        <v>K30  = 502.5÷2.5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1.2870370370370372E-2</v>
      </c>
      <c r="B22" s="140">
        <f t="shared" si="0"/>
        <v>37.091250000000002</v>
      </c>
      <c r="C22" s="20">
        <v>525</v>
      </c>
      <c r="D22" s="149">
        <v>2.41</v>
      </c>
      <c r="E22" s="22">
        <v>2.73</v>
      </c>
      <c r="F22" s="150">
        <f t="shared" si="1"/>
        <v>2.5700000000000003</v>
      </c>
      <c r="G22" s="23">
        <f t="shared" si="3"/>
        <v>2.5700000000000003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1.3784722222222224E-2</v>
      </c>
      <c r="B23" s="140">
        <f t="shared" si="0"/>
        <v>39.564</v>
      </c>
      <c r="C23" s="20">
        <v>560</v>
      </c>
      <c r="D23" s="149">
        <v>2.4900000000000002</v>
      </c>
      <c r="E23" s="22">
        <v>2.82</v>
      </c>
      <c r="F23" s="150">
        <f t="shared" si="1"/>
        <v>2.6550000000000002</v>
      </c>
      <c r="G23" s="23">
        <f t="shared" si="3"/>
        <v>2.6550000000000002</v>
      </c>
      <c r="H23" s="212">
        <f>K14</f>
        <v>201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201×1.3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261.3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201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957D-FFEF-4CF7-9483-7FCE16AC4508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List!B40</f>
        <v>46178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List!A40</f>
        <v>37</v>
      </c>
      <c r="C3" s="253"/>
      <c r="D3" s="253"/>
      <c r="E3" s="253"/>
      <c r="F3" s="45" t="s">
        <v>34</v>
      </c>
      <c r="G3" s="281" t="str">
        <f>List!C40</f>
        <v>중로(집) 3-12 (No.17 ~ No.20) 노체 11단(33층)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7.6388888888888893E-4</v>
      </c>
      <c r="B8" s="140">
        <f>C8*0.07065</f>
        <v>2.47275</v>
      </c>
      <c r="C8" s="20">
        <v>35</v>
      </c>
      <c r="D8" s="149">
        <v>7.0000000000000007E-2</v>
      </c>
      <c r="E8" s="22">
        <v>0.28999999999999998</v>
      </c>
      <c r="F8" s="150">
        <f>IFERROR((D8+E8)/2," ")</f>
        <v>0.18</v>
      </c>
      <c r="G8" s="23">
        <f>F8-F7</f>
        <v>0.18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0.39</v>
      </c>
      <c r="T8" s="133">
        <f>F8+Q8</f>
        <v>0.28000000000000003</v>
      </c>
    </row>
    <row r="9" spans="1:20" ht="14.25" customHeight="1" thickTop="1">
      <c r="A9" s="144">
        <f ca="1">A8+TIME(,RAND()*1+(1-0),RAND()*10+10)</f>
        <v>1.5856481481481481E-3</v>
      </c>
      <c r="B9" s="140">
        <f t="shared" ref="B9:B23" si="0">C9*0.07065</f>
        <v>4.9455</v>
      </c>
      <c r="C9" s="20">
        <v>70</v>
      </c>
      <c r="D9" s="149">
        <v>0.21</v>
      </c>
      <c r="E9" s="22">
        <v>0.32</v>
      </c>
      <c r="F9" s="150">
        <f t="shared" ref="F9:F23" si="1">IFERROR((D9+E9)/2," ")</f>
        <v>0.26500000000000001</v>
      </c>
      <c r="G9" s="23">
        <f>F9-$F$7</f>
        <v>0.26500000000000001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0.42000000000000004</v>
      </c>
      <c r="T9" s="133">
        <f t="shared" si="2"/>
        <v>0.36499999999999999</v>
      </c>
    </row>
    <row r="10" spans="1:20" ht="14.25" customHeight="1">
      <c r="A10" s="144">
        <f ca="1">A9+TIME(,RAND()*1+(1-0),RAND()*10+5)</f>
        <v>2.3842592592592591E-3</v>
      </c>
      <c r="B10" s="140">
        <f t="shared" si="0"/>
        <v>7.4182500000000005</v>
      </c>
      <c r="C10" s="20">
        <v>105</v>
      </c>
      <c r="D10" s="149">
        <v>0.22</v>
      </c>
      <c r="E10" s="22">
        <v>0.77</v>
      </c>
      <c r="F10" s="150">
        <f t="shared" si="1"/>
        <v>0.495</v>
      </c>
      <c r="G10" s="23">
        <f t="shared" ref="G10:G23" si="3">F10-$F$7</f>
        <v>0.495</v>
      </c>
      <c r="H10" s="217"/>
      <c r="I10" s="218"/>
      <c r="J10" s="219"/>
      <c r="K10" s="24" t="s">
        <v>15</v>
      </c>
      <c r="L10" s="25">
        <v>0</v>
      </c>
      <c r="M10" s="62">
        <f>K13</f>
        <v>513</v>
      </c>
      <c r="N10" s="2"/>
      <c r="P10" s="3">
        <v>0.1</v>
      </c>
      <c r="Q10" s="3">
        <v>0.1</v>
      </c>
      <c r="S10" s="133">
        <f t="shared" si="2"/>
        <v>0.87</v>
      </c>
      <c r="T10" s="133">
        <f t="shared" si="2"/>
        <v>0.59499999999999997</v>
      </c>
    </row>
    <row r="11" spans="1:20" ht="14.25" customHeight="1" thickBot="1">
      <c r="A11" s="144">
        <f ca="1">A10+TIME(,RAND()*1+(1-0),RAND()*10+5)</f>
        <v>3.2291666666666666E-3</v>
      </c>
      <c r="B11" s="140">
        <f t="shared" si="0"/>
        <v>9.891</v>
      </c>
      <c r="C11" s="20">
        <v>140</v>
      </c>
      <c r="D11" s="149">
        <v>0.59</v>
      </c>
      <c r="E11" s="22">
        <v>1.24</v>
      </c>
      <c r="F11" s="150">
        <f t="shared" si="1"/>
        <v>0.91500000000000004</v>
      </c>
      <c r="G11" s="23">
        <f t="shared" si="3"/>
        <v>0.91500000000000004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1.34</v>
      </c>
      <c r="T11" s="133">
        <f t="shared" si="2"/>
        <v>1.0150000000000001</v>
      </c>
    </row>
    <row r="12" spans="1:20" ht="14.25" customHeight="1" thickTop="1">
      <c r="A12" s="144">
        <f ca="1">A11+TIME(,RAND()*1+(1-0),RAND()*10+10)</f>
        <v>4.0972222222222226E-3</v>
      </c>
      <c r="B12" s="140">
        <f t="shared" si="0"/>
        <v>12.363750000000001</v>
      </c>
      <c r="C12" s="20">
        <v>175</v>
      </c>
      <c r="D12" s="149">
        <v>0.96</v>
      </c>
      <c r="E12" s="22">
        <v>1.42</v>
      </c>
      <c r="F12" s="150">
        <f t="shared" si="1"/>
        <v>1.19</v>
      </c>
      <c r="G12" s="23">
        <f t="shared" si="3"/>
        <v>1.19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1.52</v>
      </c>
      <c r="T12" s="133">
        <f t="shared" si="2"/>
        <v>1.29</v>
      </c>
    </row>
    <row r="13" spans="1:20" ht="14.25" customHeight="1">
      <c r="A13" s="144">
        <f ca="1">A12+TIME(,RAND()*1+(1-0),RAND()*10+10)</f>
        <v>4.9305555555555561E-3</v>
      </c>
      <c r="B13" s="140">
        <f t="shared" si="0"/>
        <v>14.836500000000001</v>
      </c>
      <c r="C13" s="20">
        <v>210</v>
      </c>
      <c r="D13" s="149">
        <v>1.1399999999999999</v>
      </c>
      <c r="E13" s="22">
        <v>1.52</v>
      </c>
      <c r="F13" s="150">
        <f t="shared" si="1"/>
        <v>1.33</v>
      </c>
      <c r="G13" s="23">
        <f t="shared" si="3"/>
        <v>1.33</v>
      </c>
      <c r="H13" s="217" t="s">
        <v>16</v>
      </c>
      <c r="I13" s="218"/>
      <c r="J13" s="219" t="s">
        <v>23</v>
      </c>
      <c r="K13" s="30">
        <v>513</v>
      </c>
      <c r="L13" s="25">
        <f>M10</f>
        <v>513</v>
      </c>
      <c r="M13" s="26">
        <f>L13</f>
        <v>513</v>
      </c>
      <c r="N13" s="2"/>
      <c r="P13" s="3">
        <v>0.1</v>
      </c>
      <c r="Q13" s="3">
        <v>0.1</v>
      </c>
      <c r="S13" s="133">
        <f t="shared" si="2"/>
        <v>1.62</v>
      </c>
      <c r="T13" s="133">
        <f t="shared" si="2"/>
        <v>1.4300000000000002</v>
      </c>
    </row>
    <row r="14" spans="1:20" ht="14.25" customHeight="1" thickBot="1">
      <c r="A14" s="144">
        <f ca="1">A13+TIME(,RAND()*1+(1-0),RAND()*10+10)</f>
        <v>5.7523148148148151E-3</v>
      </c>
      <c r="B14" s="140">
        <f t="shared" si="0"/>
        <v>17.309250000000002</v>
      </c>
      <c r="C14" s="20">
        <v>245</v>
      </c>
      <c r="D14" s="149">
        <v>1.28</v>
      </c>
      <c r="E14" s="22">
        <v>1.72</v>
      </c>
      <c r="F14" s="150">
        <f t="shared" si="1"/>
        <v>1.5</v>
      </c>
      <c r="G14" s="23">
        <f t="shared" si="3"/>
        <v>1.5</v>
      </c>
      <c r="H14" s="217"/>
      <c r="I14" s="218"/>
      <c r="J14" s="219"/>
      <c r="K14" s="17">
        <f>K13/2.5</f>
        <v>205.2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1.82</v>
      </c>
      <c r="T14" s="133">
        <f t="shared" si="2"/>
        <v>1.6</v>
      </c>
    </row>
    <row r="15" spans="1:20" ht="14.25" customHeight="1" thickTop="1" thickBot="1">
      <c r="A15" s="144">
        <f ca="1">A14+TIME(,RAND()*1+(1-0),RAND()*10+10)</f>
        <v>6.6666666666666671E-3</v>
      </c>
      <c r="B15" s="140">
        <f t="shared" si="0"/>
        <v>19.782</v>
      </c>
      <c r="C15" s="20">
        <v>280</v>
      </c>
      <c r="D15" s="149">
        <v>1.49</v>
      </c>
      <c r="E15" s="22">
        <v>1.76</v>
      </c>
      <c r="F15" s="150">
        <f t="shared" si="1"/>
        <v>1.625</v>
      </c>
      <c r="G15" s="23">
        <f t="shared" si="3"/>
        <v>1.625</v>
      </c>
      <c r="H15" s="217" t="s">
        <v>16</v>
      </c>
      <c r="I15" s="218"/>
      <c r="J15" s="220" t="s">
        <v>27</v>
      </c>
      <c r="K15" s="2">
        <f>ROUND(K14,1)*1.3</f>
        <v>266.76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1.86</v>
      </c>
      <c r="T15" s="133">
        <f t="shared" si="2"/>
        <v>1.7250000000000001</v>
      </c>
    </row>
    <row r="16" spans="1:20" ht="14.25" customHeight="1">
      <c r="A16" s="144">
        <f ca="1">A15+TIME(,RAND()*1+(1-0),RAND()*10+10)</f>
        <v>7.5462962962962966E-3</v>
      </c>
      <c r="B16" s="140">
        <f t="shared" si="0"/>
        <v>22.254750000000001</v>
      </c>
      <c r="C16" s="20">
        <v>315</v>
      </c>
      <c r="D16" s="149">
        <v>1.5</v>
      </c>
      <c r="E16" s="22">
        <v>1.95</v>
      </c>
      <c r="F16" s="150">
        <f t="shared" si="1"/>
        <v>1.7250000000000001</v>
      </c>
      <c r="G16" s="23">
        <f t="shared" si="3"/>
        <v>1.7250000000000001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8.3564814814814821E-3</v>
      </c>
      <c r="B17" s="140">
        <f t="shared" si="0"/>
        <v>24.727500000000003</v>
      </c>
      <c r="C17" s="20">
        <v>350</v>
      </c>
      <c r="D17" s="149">
        <v>1.58</v>
      </c>
      <c r="E17" s="22">
        <v>2.0699999999999998</v>
      </c>
      <c r="F17" s="150">
        <f t="shared" si="1"/>
        <v>1.825</v>
      </c>
      <c r="G17" s="23">
        <f t="shared" si="3"/>
        <v>1.825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9.2476851851851852E-3</v>
      </c>
      <c r="B18" s="140">
        <f t="shared" si="0"/>
        <v>27.20025</v>
      </c>
      <c r="C18" s="20">
        <v>385</v>
      </c>
      <c r="D18" s="149">
        <v>1.59</v>
      </c>
      <c r="E18" s="22">
        <v>2.27</v>
      </c>
      <c r="F18" s="150">
        <f t="shared" si="1"/>
        <v>1.9300000000000002</v>
      </c>
      <c r="G18" s="23">
        <f t="shared" si="3"/>
        <v>1.9300000000000002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1.0081018518518519E-2</v>
      </c>
      <c r="B19" s="140">
        <f t="shared" si="0"/>
        <v>29.673000000000002</v>
      </c>
      <c r="C19" s="20">
        <v>420</v>
      </c>
      <c r="D19" s="149">
        <v>1.64</v>
      </c>
      <c r="E19" s="22">
        <v>2.42</v>
      </c>
      <c r="F19" s="150">
        <f t="shared" si="1"/>
        <v>2.0299999999999998</v>
      </c>
      <c r="G19" s="23">
        <f t="shared" si="3"/>
        <v>2.0299999999999998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1.0995370370370371E-2</v>
      </c>
      <c r="B20" s="140">
        <f t="shared" si="0"/>
        <v>32.14575</v>
      </c>
      <c r="C20" s="20">
        <v>455</v>
      </c>
      <c r="D20" s="149">
        <v>1.85</v>
      </c>
      <c r="E20" s="22">
        <v>2.5499999999999998</v>
      </c>
      <c r="F20" s="150">
        <f t="shared" si="1"/>
        <v>2.2000000000000002</v>
      </c>
      <c r="G20" s="23">
        <f t="shared" si="3"/>
        <v>2.2000000000000002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1.1828703703703704E-2</v>
      </c>
      <c r="B21" s="140">
        <f t="shared" si="0"/>
        <v>34.618500000000004</v>
      </c>
      <c r="C21" s="20">
        <v>490</v>
      </c>
      <c r="D21" s="149">
        <v>1.99</v>
      </c>
      <c r="E21" s="22">
        <v>2.67</v>
      </c>
      <c r="F21" s="150">
        <f t="shared" si="1"/>
        <v>2.33</v>
      </c>
      <c r="G21" s="23">
        <f t="shared" si="3"/>
        <v>2.33</v>
      </c>
      <c r="H21" s="204" t="str">
        <f>"K30  = "&amp;ROUND(K13,1)&amp;"÷2.5"</f>
        <v>K30  = 513÷2.5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1.2685185185185185E-2</v>
      </c>
      <c r="B22" s="140">
        <f t="shared" si="0"/>
        <v>37.091250000000002</v>
      </c>
      <c r="C22" s="20">
        <v>525</v>
      </c>
      <c r="D22" s="149">
        <v>2.242</v>
      </c>
      <c r="E22" s="22">
        <v>3.016</v>
      </c>
      <c r="F22" s="150">
        <f t="shared" si="1"/>
        <v>2.629</v>
      </c>
      <c r="G22" s="23">
        <f t="shared" si="3"/>
        <v>2.629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1.3495370370370369E-2</v>
      </c>
      <c r="B23" s="140">
        <f t="shared" si="0"/>
        <v>39.564</v>
      </c>
      <c r="C23" s="20">
        <v>560</v>
      </c>
      <c r="D23" s="149">
        <v>2.33</v>
      </c>
      <c r="E23" s="22">
        <v>3.11</v>
      </c>
      <c r="F23" s="150">
        <f t="shared" si="1"/>
        <v>2.7199999999999998</v>
      </c>
      <c r="G23" s="23">
        <f t="shared" si="3"/>
        <v>2.7199999999999998</v>
      </c>
      <c r="H23" s="212">
        <f>K14</f>
        <v>205.2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205.2×1.3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266.76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205.2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8471-15F9-46A5-95EE-46399F4F6E0A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List!B39</f>
        <v>46177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List!A39</f>
        <v>36</v>
      </c>
      <c r="C3" s="253"/>
      <c r="D3" s="253"/>
      <c r="E3" s="253"/>
      <c r="F3" s="45" t="s">
        <v>34</v>
      </c>
      <c r="G3" s="281" t="str">
        <f>List!C39</f>
        <v>중로(집) 3-12 (No.17 ~ No.20) 노체 10단(30층)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8.3333333333333339E-4</v>
      </c>
      <c r="B8" s="140">
        <f>C8*0.07065</f>
        <v>2.47275</v>
      </c>
      <c r="C8" s="20">
        <v>35</v>
      </c>
      <c r="D8" s="149">
        <v>0.32</v>
      </c>
      <c r="E8" s="22">
        <v>0.33</v>
      </c>
      <c r="F8" s="150">
        <f>IFERROR((D8+E8)/2," ")</f>
        <v>0.32500000000000001</v>
      </c>
      <c r="G8" s="23">
        <f>F8-F7</f>
        <v>0.32500000000000001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0.43000000000000005</v>
      </c>
      <c r="T8" s="133">
        <f>F8+Q8</f>
        <v>0.42500000000000004</v>
      </c>
    </row>
    <row r="9" spans="1:20" ht="14.25" customHeight="1" thickTop="1">
      <c r="A9" s="144">
        <f ca="1">A8+TIME(,RAND()*1+(1-0),RAND()*10+10)</f>
        <v>1.6550925925925926E-3</v>
      </c>
      <c r="B9" s="140">
        <f t="shared" ref="B9:B23" si="0">C9*0.07065</f>
        <v>4.9455</v>
      </c>
      <c r="C9" s="20">
        <v>70</v>
      </c>
      <c r="D9" s="149">
        <v>0.51</v>
      </c>
      <c r="E9" s="22">
        <v>0.49</v>
      </c>
      <c r="F9" s="150">
        <f t="shared" ref="F9:F23" si="1">IFERROR((D9+E9)/2," ")</f>
        <v>0.5</v>
      </c>
      <c r="G9" s="23">
        <f>F9-$F$7</f>
        <v>0.5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0.59</v>
      </c>
      <c r="T9" s="133">
        <f t="shared" si="2"/>
        <v>0.6</v>
      </c>
    </row>
    <row r="10" spans="1:20" ht="14.25" customHeight="1">
      <c r="A10" s="144">
        <f ca="1">A9+TIME(,RAND()*1+(1-0),RAND()*10+5)</f>
        <v>2.5000000000000001E-3</v>
      </c>
      <c r="B10" s="140">
        <f t="shared" si="0"/>
        <v>7.4182500000000005</v>
      </c>
      <c r="C10" s="20">
        <v>105</v>
      </c>
      <c r="D10" s="149">
        <v>0.53</v>
      </c>
      <c r="E10" s="22">
        <v>0.91</v>
      </c>
      <c r="F10" s="150">
        <f t="shared" si="1"/>
        <v>0.72</v>
      </c>
      <c r="G10" s="23">
        <f t="shared" ref="G10:G23" si="3">F10-$F$7</f>
        <v>0.72</v>
      </c>
      <c r="H10" s="217"/>
      <c r="I10" s="218"/>
      <c r="J10" s="219"/>
      <c r="K10" s="24" t="s">
        <v>15</v>
      </c>
      <c r="L10" s="25">
        <v>0</v>
      </c>
      <c r="M10" s="62">
        <f>K13</f>
        <v>535</v>
      </c>
      <c r="N10" s="2"/>
      <c r="P10" s="3">
        <v>0.1</v>
      </c>
      <c r="Q10" s="3">
        <v>0.1</v>
      </c>
      <c r="S10" s="133">
        <f t="shared" si="2"/>
        <v>1.01</v>
      </c>
      <c r="T10" s="133">
        <f t="shared" si="2"/>
        <v>0.82</v>
      </c>
    </row>
    <row r="11" spans="1:20" ht="14.25" customHeight="1" thickBot="1">
      <c r="A11" s="144">
        <f ca="1">A10+TIME(,RAND()*1+(1-0),RAND()*10+5)</f>
        <v>3.3217592592592595E-3</v>
      </c>
      <c r="B11" s="140">
        <f t="shared" si="0"/>
        <v>9.891</v>
      </c>
      <c r="C11" s="20">
        <v>140</v>
      </c>
      <c r="D11" s="149">
        <v>0.65</v>
      </c>
      <c r="E11" s="22">
        <v>1.32</v>
      </c>
      <c r="F11" s="150">
        <f t="shared" si="1"/>
        <v>0.9850000000000001</v>
      </c>
      <c r="G11" s="23">
        <f t="shared" si="3"/>
        <v>0.9850000000000001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1.4200000000000002</v>
      </c>
      <c r="T11" s="133">
        <f t="shared" si="2"/>
        <v>1.0850000000000002</v>
      </c>
    </row>
    <row r="12" spans="1:20" ht="14.25" customHeight="1" thickTop="1">
      <c r="A12" s="144">
        <f ca="1">A11+TIME(,RAND()*1+(1-0),RAND()*10+10)</f>
        <v>4.2245370370370371E-3</v>
      </c>
      <c r="B12" s="140">
        <f t="shared" si="0"/>
        <v>12.363750000000001</v>
      </c>
      <c r="C12" s="20">
        <v>175</v>
      </c>
      <c r="D12" s="149">
        <v>1.04</v>
      </c>
      <c r="E12" s="22">
        <v>1.38</v>
      </c>
      <c r="F12" s="150">
        <f t="shared" si="1"/>
        <v>1.21</v>
      </c>
      <c r="G12" s="23">
        <f t="shared" si="3"/>
        <v>1.21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1.48</v>
      </c>
      <c r="T12" s="133">
        <f t="shared" si="2"/>
        <v>1.31</v>
      </c>
    </row>
    <row r="13" spans="1:20" ht="14.25" customHeight="1">
      <c r="A13" s="144">
        <f ca="1">A12+TIME(,RAND()*1+(1-0),RAND()*10+10)</f>
        <v>5.1041666666666666E-3</v>
      </c>
      <c r="B13" s="140">
        <f t="shared" si="0"/>
        <v>14.836500000000001</v>
      </c>
      <c r="C13" s="20">
        <v>210</v>
      </c>
      <c r="D13" s="149">
        <v>1.1499999999999999</v>
      </c>
      <c r="E13" s="22">
        <v>1.39</v>
      </c>
      <c r="F13" s="150">
        <f t="shared" si="1"/>
        <v>1.27</v>
      </c>
      <c r="G13" s="23">
        <f t="shared" si="3"/>
        <v>1.27</v>
      </c>
      <c r="H13" s="217" t="s">
        <v>16</v>
      </c>
      <c r="I13" s="218"/>
      <c r="J13" s="219" t="s">
        <v>23</v>
      </c>
      <c r="K13" s="30">
        <v>535</v>
      </c>
      <c r="L13" s="25">
        <f>M10</f>
        <v>535</v>
      </c>
      <c r="M13" s="26">
        <f>L13</f>
        <v>535</v>
      </c>
      <c r="N13" s="2"/>
      <c r="P13" s="3">
        <v>0.1</v>
      </c>
      <c r="Q13" s="3">
        <v>0.1</v>
      </c>
      <c r="S13" s="133">
        <f t="shared" si="2"/>
        <v>1.49</v>
      </c>
      <c r="T13" s="133">
        <f t="shared" si="2"/>
        <v>1.37</v>
      </c>
    </row>
    <row r="14" spans="1:20" ht="14.25" customHeight="1" thickBot="1">
      <c r="A14" s="144">
        <f ca="1">A13+TIME(,RAND()*1+(1-0),RAND()*10+10)</f>
        <v>6.0185185185185185E-3</v>
      </c>
      <c r="B14" s="140">
        <f t="shared" si="0"/>
        <v>17.309250000000002</v>
      </c>
      <c r="C14" s="20">
        <v>245</v>
      </c>
      <c r="D14" s="149">
        <v>1.25</v>
      </c>
      <c r="E14" s="22">
        <v>1.64</v>
      </c>
      <c r="F14" s="150">
        <f t="shared" si="1"/>
        <v>1.4449999999999998</v>
      </c>
      <c r="G14" s="23">
        <f t="shared" si="3"/>
        <v>1.4449999999999998</v>
      </c>
      <c r="H14" s="217"/>
      <c r="I14" s="218"/>
      <c r="J14" s="219"/>
      <c r="K14" s="17">
        <f>K13/2.5</f>
        <v>214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1.74</v>
      </c>
      <c r="T14" s="133">
        <f t="shared" si="2"/>
        <v>1.5449999999999999</v>
      </c>
    </row>
    <row r="15" spans="1:20" ht="14.25" customHeight="1" thickTop="1" thickBot="1">
      <c r="A15" s="144">
        <f ca="1">A14+TIME(,RAND()*1+(1-0),RAND()*10+10)</f>
        <v>6.8865740740740745E-3</v>
      </c>
      <c r="B15" s="140">
        <f t="shared" si="0"/>
        <v>19.782</v>
      </c>
      <c r="C15" s="20">
        <v>280</v>
      </c>
      <c r="D15" s="149">
        <v>1.43</v>
      </c>
      <c r="E15" s="22">
        <v>1.75</v>
      </c>
      <c r="F15" s="150">
        <f t="shared" si="1"/>
        <v>1.5899999999999999</v>
      </c>
      <c r="G15" s="23">
        <f t="shared" si="3"/>
        <v>1.5899999999999999</v>
      </c>
      <c r="H15" s="217" t="s">
        <v>16</v>
      </c>
      <c r="I15" s="218"/>
      <c r="J15" s="220" t="s">
        <v>27</v>
      </c>
      <c r="K15" s="2">
        <f>ROUND(K14,1)*1.3</f>
        <v>278.2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1.85</v>
      </c>
      <c r="T15" s="133">
        <f t="shared" si="2"/>
        <v>1.69</v>
      </c>
    </row>
    <row r="16" spans="1:20" ht="14.25" customHeight="1">
      <c r="A16" s="144">
        <f ca="1">A15+TIME(,RAND()*1+(1-0),RAND()*10+10)</f>
        <v>7.7546296296296304E-3</v>
      </c>
      <c r="B16" s="140">
        <f t="shared" si="0"/>
        <v>22.254750000000001</v>
      </c>
      <c r="C16" s="20">
        <v>315</v>
      </c>
      <c r="D16" s="149">
        <v>1.49</v>
      </c>
      <c r="E16" s="22">
        <v>1.76</v>
      </c>
      <c r="F16" s="150">
        <f t="shared" si="1"/>
        <v>1.625</v>
      </c>
      <c r="G16" s="23">
        <f t="shared" si="3"/>
        <v>1.625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8.6458333333333335E-3</v>
      </c>
      <c r="B17" s="140">
        <f t="shared" si="0"/>
        <v>24.727500000000003</v>
      </c>
      <c r="C17" s="20">
        <v>350</v>
      </c>
      <c r="D17" s="149">
        <v>1.57</v>
      </c>
      <c r="E17" s="22">
        <v>1.79</v>
      </c>
      <c r="F17" s="150">
        <f t="shared" si="1"/>
        <v>1.6800000000000002</v>
      </c>
      <c r="G17" s="23">
        <f t="shared" si="3"/>
        <v>1.6800000000000002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9.4560185185185181E-3</v>
      </c>
      <c r="B18" s="140">
        <f t="shared" si="0"/>
        <v>27.20025</v>
      </c>
      <c r="C18" s="20">
        <v>385</v>
      </c>
      <c r="D18" s="149">
        <v>1.65</v>
      </c>
      <c r="E18" s="22">
        <v>1.93</v>
      </c>
      <c r="F18" s="150">
        <f t="shared" si="1"/>
        <v>1.79</v>
      </c>
      <c r="G18" s="23">
        <f t="shared" si="3"/>
        <v>1.79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1.0324074074074074E-2</v>
      </c>
      <c r="B19" s="140">
        <f t="shared" si="0"/>
        <v>29.673000000000002</v>
      </c>
      <c r="C19" s="20">
        <v>420</v>
      </c>
      <c r="D19" s="149">
        <v>1.88</v>
      </c>
      <c r="E19" s="22">
        <v>2.04</v>
      </c>
      <c r="F19" s="150">
        <f t="shared" si="1"/>
        <v>1.96</v>
      </c>
      <c r="G19" s="23">
        <f t="shared" si="3"/>
        <v>1.96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1.1180555555555555E-2</v>
      </c>
      <c r="B20" s="140">
        <f t="shared" si="0"/>
        <v>32.14575</v>
      </c>
      <c r="C20" s="20">
        <v>455</v>
      </c>
      <c r="D20" s="149">
        <v>2.09</v>
      </c>
      <c r="E20" s="22">
        <v>2.2200000000000002</v>
      </c>
      <c r="F20" s="150">
        <f t="shared" si="1"/>
        <v>2.1550000000000002</v>
      </c>
      <c r="G20" s="23">
        <f t="shared" si="3"/>
        <v>2.1550000000000002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1.2083333333333333E-2</v>
      </c>
      <c r="B21" s="140">
        <f t="shared" si="0"/>
        <v>34.618500000000004</v>
      </c>
      <c r="C21" s="20">
        <v>490</v>
      </c>
      <c r="D21" s="149">
        <v>2.31</v>
      </c>
      <c r="E21" s="22">
        <v>2.37</v>
      </c>
      <c r="F21" s="150">
        <f t="shared" si="1"/>
        <v>2.34</v>
      </c>
      <c r="G21" s="23">
        <f t="shared" si="3"/>
        <v>2.34</v>
      </c>
      <c r="H21" s="204" t="str">
        <f>"K30  = "&amp;ROUND(K13,1)&amp;"÷2.5"</f>
        <v>K30  = 535÷2.5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1.2974537037037036E-2</v>
      </c>
      <c r="B22" s="140">
        <f t="shared" si="0"/>
        <v>37.091250000000002</v>
      </c>
      <c r="C22" s="20">
        <v>525</v>
      </c>
      <c r="D22" s="149">
        <v>2.4900000000000002</v>
      </c>
      <c r="E22" s="22">
        <v>2.5099999999999998</v>
      </c>
      <c r="F22" s="150">
        <f t="shared" si="1"/>
        <v>2.5</v>
      </c>
      <c r="G22" s="23">
        <f t="shared" si="3"/>
        <v>2.5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1.3842592592592592E-2</v>
      </c>
      <c r="B23" s="140">
        <f t="shared" si="0"/>
        <v>39.564</v>
      </c>
      <c r="C23" s="20">
        <v>560</v>
      </c>
      <c r="D23" s="149">
        <v>2.64</v>
      </c>
      <c r="E23" s="22">
        <v>2.59</v>
      </c>
      <c r="F23" s="150">
        <f t="shared" si="1"/>
        <v>2.6150000000000002</v>
      </c>
      <c r="G23" s="23">
        <f t="shared" si="3"/>
        <v>2.6150000000000002</v>
      </c>
      <c r="H23" s="212">
        <f>K14</f>
        <v>214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214×1.3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278.2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214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9E4B-6556-43AF-88A1-DA58D9577AD5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List!B38</f>
        <v>46177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List!A38</f>
        <v>35</v>
      </c>
      <c r="C3" s="253"/>
      <c r="D3" s="253"/>
      <c r="E3" s="253"/>
      <c r="F3" s="45" t="s">
        <v>34</v>
      </c>
      <c r="G3" s="281" t="str">
        <f>List!C38</f>
        <v>중로(집) 3-12 (No.17 ~ No.20) 노체 9단(27층)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0.01</v>
      </c>
      <c r="E8" s="22">
        <v>0.09</v>
      </c>
      <c r="F8" s="150">
        <f>IFERROR((D8+E8)/2," ")</f>
        <v>4.9999999999999996E-2</v>
      </c>
      <c r="G8" s="23">
        <f>F8-F7</f>
        <v>4.9999999999999996E-2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0.19</v>
      </c>
      <c r="T8" s="133">
        <f>F8+Q8</f>
        <v>0.15</v>
      </c>
    </row>
    <row r="9" spans="1:20" ht="14.25" customHeight="1" thickTop="1">
      <c r="A9" s="144">
        <f ca="1">A8+TIME(,RAND()*1+(1-0),RAND()*10+10)</f>
        <v>1.6898148148148148E-3</v>
      </c>
      <c r="B9" s="140">
        <f t="shared" ref="B9:B23" si="0">C9*0.07065</f>
        <v>4.9455</v>
      </c>
      <c r="C9" s="20">
        <v>70</v>
      </c>
      <c r="D9" s="149">
        <v>0.46</v>
      </c>
      <c r="E9" s="22">
        <v>0.16</v>
      </c>
      <c r="F9" s="150">
        <f t="shared" ref="F9:F23" si="1">IFERROR((D9+E9)/2," ")</f>
        <v>0.31</v>
      </c>
      <c r="G9" s="23">
        <f>F9-$F$7</f>
        <v>0.31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0.26</v>
      </c>
      <c r="T9" s="133">
        <f t="shared" si="2"/>
        <v>0.41000000000000003</v>
      </c>
    </row>
    <row r="10" spans="1:20" ht="14.25" customHeight="1">
      <c r="A10" s="144">
        <f ca="1">A9+TIME(,RAND()*1+(1-0),RAND()*10+5)</f>
        <v>2.5462962962962965E-3</v>
      </c>
      <c r="B10" s="140">
        <f t="shared" si="0"/>
        <v>7.4182500000000005</v>
      </c>
      <c r="C10" s="20">
        <v>105</v>
      </c>
      <c r="D10" s="149">
        <v>0.48</v>
      </c>
      <c r="E10" s="22">
        <v>0.6</v>
      </c>
      <c r="F10" s="150">
        <f t="shared" si="1"/>
        <v>0.54</v>
      </c>
      <c r="G10" s="23">
        <f t="shared" ref="G10:G23" si="3">F10-$F$7</f>
        <v>0.54</v>
      </c>
      <c r="H10" s="217"/>
      <c r="I10" s="218"/>
      <c r="J10" s="219"/>
      <c r="K10" s="24" t="s">
        <v>15</v>
      </c>
      <c r="L10" s="25">
        <v>0</v>
      </c>
      <c r="M10" s="62">
        <f>K13</f>
        <v>523</v>
      </c>
      <c r="N10" s="2"/>
      <c r="P10" s="3">
        <v>0.1</v>
      </c>
      <c r="Q10" s="3">
        <v>0.1</v>
      </c>
      <c r="S10" s="133">
        <f t="shared" si="2"/>
        <v>0.7</v>
      </c>
      <c r="T10" s="133">
        <f t="shared" si="2"/>
        <v>0.64</v>
      </c>
    </row>
    <row r="11" spans="1:20" ht="14.25" customHeight="1" thickBot="1">
      <c r="A11" s="144">
        <f ca="1">A10+TIME(,RAND()*1+(1-0),RAND()*10+5)</f>
        <v>3.391203703703704E-3</v>
      </c>
      <c r="B11" s="140">
        <f t="shared" si="0"/>
        <v>9.891</v>
      </c>
      <c r="C11" s="20">
        <v>140</v>
      </c>
      <c r="D11" s="149">
        <v>0.88</v>
      </c>
      <c r="E11" s="22">
        <v>0.73</v>
      </c>
      <c r="F11" s="150">
        <f t="shared" si="1"/>
        <v>0.80499999999999994</v>
      </c>
      <c r="G11" s="23">
        <f t="shared" si="3"/>
        <v>0.80499999999999994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0.83</v>
      </c>
      <c r="T11" s="133">
        <f t="shared" si="2"/>
        <v>0.90499999999999992</v>
      </c>
    </row>
    <row r="12" spans="1:20" ht="14.25" customHeight="1" thickTop="1">
      <c r="A12" s="144">
        <f ca="1">A11+TIME(,RAND()*1+(1-0),RAND()*10+10)</f>
        <v>4.293981481481482E-3</v>
      </c>
      <c r="B12" s="140">
        <f t="shared" si="0"/>
        <v>12.363750000000001</v>
      </c>
      <c r="C12" s="20">
        <v>175</v>
      </c>
      <c r="D12" s="149">
        <v>0.92</v>
      </c>
      <c r="E12" s="22">
        <v>0.77</v>
      </c>
      <c r="F12" s="150">
        <f t="shared" si="1"/>
        <v>0.84499999999999997</v>
      </c>
      <c r="G12" s="23">
        <f t="shared" si="3"/>
        <v>0.84499999999999997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0.87</v>
      </c>
      <c r="T12" s="133">
        <f t="shared" si="2"/>
        <v>0.94499999999999995</v>
      </c>
    </row>
    <row r="13" spans="1:20" ht="14.25" customHeight="1">
      <c r="A13" s="144">
        <f ca="1">A12+TIME(,RAND()*1+(1-0),RAND()*10+10)</f>
        <v>5.1620370370370379E-3</v>
      </c>
      <c r="B13" s="140">
        <f t="shared" si="0"/>
        <v>14.836500000000001</v>
      </c>
      <c r="C13" s="20">
        <v>210</v>
      </c>
      <c r="D13" s="149">
        <v>1.03</v>
      </c>
      <c r="E13" s="22">
        <v>1</v>
      </c>
      <c r="F13" s="150">
        <f t="shared" si="1"/>
        <v>1.0150000000000001</v>
      </c>
      <c r="G13" s="23">
        <f t="shared" si="3"/>
        <v>1.0150000000000001</v>
      </c>
      <c r="H13" s="217" t="s">
        <v>16</v>
      </c>
      <c r="I13" s="218"/>
      <c r="J13" s="219" t="s">
        <v>23</v>
      </c>
      <c r="K13" s="30">
        <v>523</v>
      </c>
      <c r="L13" s="25">
        <f>M10</f>
        <v>523</v>
      </c>
      <c r="M13" s="26">
        <f>L13</f>
        <v>523</v>
      </c>
      <c r="N13" s="2"/>
      <c r="P13" s="3">
        <v>0.1</v>
      </c>
      <c r="Q13" s="3">
        <v>0.1</v>
      </c>
      <c r="S13" s="133">
        <f t="shared" si="2"/>
        <v>1.1000000000000001</v>
      </c>
      <c r="T13" s="133">
        <f t="shared" si="2"/>
        <v>1.1150000000000002</v>
      </c>
    </row>
    <row r="14" spans="1:20" ht="14.25" customHeight="1" thickBot="1">
      <c r="A14" s="144">
        <f ca="1">A13+TIME(,RAND()*1+(1-0),RAND()*10+10)</f>
        <v>5.9953703703703714E-3</v>
      </c>
      <c r="B14" s="140">
        <f t="shared" si="0"/>
        <v>17.309250000000002</v>
      </c>
      <c r="C14" s="20">
        <v>245</v>
      </c>
      <c r="D14" s="149">
        <v>1.05</v>
      </c>
      <c r="E14" s="22">
        <v>1.17</v>
      </c>
      <c r="F14" s="150">
        <f t="shared" si="1"/>
        <v>1.1099999999999999</v>
      </c>
      <c r="G14" s="23">
        <f t="shared" si="3"/>
        <v>1.1099999999999999</v>
      </c>
      <c r="H14" s="217"/>
      <c r="I14" s="218"/>
      <c r="J14" s="219"/>
      <c r="K14" s="17">
        <f>K13/2.5</f>
        <v>209.2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1.27</v>
      </c>
      <c r="T14" s="133">
        <f t="shared" si="2"/>
        <v>1.21</v>
      </c>
    </row>
    <row r="15" spans="1:20" ht="14.25" customHeight="1" thickTop="1" thickBot="1">
      <c r="A15" s="144">
        <f ca="1">A14+TIME(,RAND()*1+(1-0),RAND()*10+10)</f>
        <v>6.8287037037037049E-3</v>
      </c>
      <c r="B15" s="140">
        <f t="shared" si="0"/>
        <v>19.782</v>
      </c>
      <c r="C15" s="20">
        <v>280</v>
      </c>
      <c r="D15" s="149">
        <v>1.17</v>
      </c>
      <c r="E15" s="22">
        <v>1.41</v>
      </c>
      <c r="F15" s="150">
        <f t="shared" si="1"/>
        <v>1.29</v>
      </c>
      <c r="G15" s="23">
        <f t="shared" si="3"/>
        <v>1.29</v>
      </c>
      <c r="H15" s="217" t="s">
        <v>16</v>
      </c>
      <c r="I15" s="218"/>
      <c r="J15" s="220" t="s">
        <v>27</v>
      </c>
      <c r="K15" s="2">
        <f>ROUND(K14,1)*1.3</f>
        <v>271.95999999999998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1.51</v>
      </c>
      <c r="T15" s="133">
        <f t="shared" si="2"/>
        <v>1.3900000000000001</v>
      </c>
    </row>
    <row r="16" spans="1:20" ht="14.25" customHeight="1">
      <c r="A16" s="144">
        <f ca="1">A15+TIME(,RAND()*1+(1-0),RAND()*10+10)</f>
        <v>7.6851851851851864E-3</v>
      </c>
      <c r="B16" s="140">
        <f t="shared" si="0"/>
        <v>22.254750000000001</v>
      </c>
      <c r="C16" s="20">
        <v>315</v>
      </c>
      <c r="D16" s="149">
        <v>1.39</v>
      </c>
      <c r="E16" s="22">
        <v>1.59</v>
      </c>
      <c r="F16" s="150">
        <f t="shared" si="1"/>
        <v>1.49</v>
      </c>
      <c r="G16" s="23">
        <f t="shared" si="3"/>
        <v>1.49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8" ht="14.25" customHeight="1">
      <c r="A17" s="144">
        <f t="shared" ref="A17:A23" ca="1" si="4">A16+TIME(,RAND()*1+(1-0),RAND()*10+10)</f>
        <v>8.5879629629629639E-3</v>
      </c>
      <c r="B17" s="140">
        <f t="shared" si="0"/>
        <v>24.727500000000003</v>
      </c>
      <c r="C17" s="20">
        <v>350</v>
      </c>
      <c r="D17" s="149">
        <v>1.61</v>
      </c>
      <c r="E17" s="22">
        <v>1.67</v>
      </c>
      <c r="F17" s="150">
        <f t="shared" si="1"/>
        <v>1.6400000000000001</v>
      </c>
      <c r="G17" s="23">
        <f t="shared" si="3"/>
        <v>1.6400000000000001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8" ht="14.25" customHeight="1">
      <c r="A18" s="144">
        <f t="shared" ca="1" si="4"/>
        <v>9.4097222222222238E-3</v>
      </c>
      <c r="B18" s="140">
        <f t="shared" si="0"/>
        <v>27.20025</v>
      </c>
      <c r="C18" s="20">
        <v>385</v>
      </c>
      <c r="D18" s="149">
        <v>1.65</v>
      </c>
      <c r="E18" s="22">
        <v>1.8</v>
      </c>
      <c r="F18" s="150">
        <f t="shared" si="1"/>
        <v>1.7250000000000001</v>
      </c>
      <c r="G18" s="23">
        <f t="shared" si="3"/>
        <v>1.7250000000000001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8" ht="14.25" customHeight="1">
      <c r="A19" s="144">
        <f t="shared" ca="1" si="4"/>
        <v>1.027777777777778E-2</v>
      </c>
      <c r="B19" s="140">
        <f t="shared" si="0"/>
        <v>29.673000000000002</v>
      </c>
      <c r="C19" s="20">
        <v>420</v>
      </c>
      <c r="D19" s="149">
        <v>1.71</v>
      </c>
      <c r="E19" s="22">
        <v>2.0499999999999998</v>
      </c>
      <c r="F19" s="150">
        <f t="shared" si="1"/>
        <v>1.88</v>
      </c>
      <c r="G19" s="23">
        <f t="shared" si="3"/>
        <v>1.88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8" ht="14.25" customHeight="1">
      <c r="A20" s="144">
        <f t="shared" ca="1" si="4"/>
        <v>1.1145833333333336E-2</v>
      </c>
      <c r="B20" s="140">
        <f t="shared" si="0"/>
        <v>32.14575</v>
      </c>
      <c r="C20" s="20">
        <v>455</v>
      </c>
      <c r="D20" s="149">
        <v>1.88</v>
      </c>
      <c r="E20" s="22">
        <v>2.16</v>
      </c>
      <c r="F20" s="150">
        <f t="shared" si="1"/>
        <v>2.02</v>
      </c>
      <c r="G20" s="23">
        <f t="shared" si="3"/>
        <v>2.02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8" ht="14.25" customHeight="1" thickBot="1">
      <c r="A21" s="144">
        <f t="shared" ca="1" si="4"/>
        <v>1.2060185185185188E-2</v>
      </c>
      <c r="B21" s="140">
        <f t="shared" si="0"/>
        <v>34.618500000000004</v>
      </c>
      <c r="C21" s="20">
        <v>490</v>
      </c>
      <c r="D21" s="149">
        <v>2.0099999999999998</v>
      </c>
      <c r="E21" s="22">
        <v>2.44</v>
      </c>
      <c r="F21" s="150">
        <f t="shared" si="1"/>
        <v>2.2249999999999996</v>
      </c>
      <c r="G21" s="23">
        <f t="shared" si="3"/>
        <v>2.2249999999999996</v>
      </c>
      <c r="H21" s="204" t="str">
        <f>"K30  = "&amp;ROUND(K13,1)&amp;"÷2.5"</f>
        <v>K30  = 523÷2.5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8" ht="14.25" customHeight="1">
      <c r="A22" s="144">
        <f t="shared" ca="1" si="4"/>
        <v>1.2962962962962966E-2</v>
      </c>
      <c r="B22" s="140">
        <f t="shared" si="0"/>
        <v>37.091250000000002</v>
      </c>
      <c r="C22" s="20">
        <v>525</v>
      </c>
      <c r="D22" s="149">
        <v>2.3729999999999998</v>
      </c>
      <c r="E22" s="22">
        <v>2.8729999999999998</v>
      </c>
      <c r="F22" s="150">
        <f t="shared" si="1"/>
        <v>2.6229999999999998</v>
      </c>
      <c r="G22" s="23">
        <f t="shared" si="3"/>
        <v>2.6229999999999998</v>
      </c>
      <c r="H22" s="207"/>
      <c r="I22" s="208"/>
      <c r="J22" s="209"/>
      <c r="K22" s="2"/>
      <c r="L22" s="2"/>
      <c r="M22" s="2"/>
      <c r="N22" s="2"/>
    </row>
    <row r="23" spans="1:18" ht="14.25" customHeight="1">
      <c r="A23" s="144">
        <f t="shared" ca="1" si="4"/>
        <v>1.3865740740740744E-2</v>
      </c>
      <c r="B23" s="140">
        <f t="shared" si="0"/>
        <v>39.564</v>
      </c>
      <c r="C23" s="20">
        <v>560</v>
      </c>
      <c r="D23" s="149">
        <v>2.4500000000000002</v>
      </c>
      <c r="E23" s="22">
        <v>2.94</v>
      </c>
      <c r="F23" s="150">
        <f t="shared" si="1"/>
        <v>2.6950000000000003</v>
      </c>
      <c r="G23" s="23">
        <f t="shared" si="3"/>
        <v>2.6950000000000003</v>
      </c>
      <c r="H23" s="212">
        <f>K14</f>
        <v>209.2</v>
      </c>
      <c r="I23" s="212"/>
      <c r="J23" s="213"/>
      <c r="K23" s="2"/>
      <c r="L23" s="2"/>
      <c r="M23" s="2" t="s">
        <v>32</v>
      </c>
      <c r="N23" s="2"/>
      <c r="R23" s="3">
        <v>4</v>
      </c>
    </row>
    <row r="24" spans="1:18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8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8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209.2×1.3</v>
      </c>
      <c r="I26" s="215"/>
      <c r="J26" s="216"/>
      <c r="K26" s="32"/>
      <c r="L26" s="2"/>
      <c r="M26" s="2"/>
      <c r="N26" s="2"/>
    </row>
    <row r="27" spans="1:18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8" ht="14.25" customHeight="1">
      <c r="A28" s="43"/>
      <c r="B28" s="56"/>
      <c r="C28" s="57"/>
      <c r="D28" s="58"/>
      <c r="E28" s="59"/>
      <c r="F28" s="59"/>
      <c r="G28" s="60"/>
      <c r="H28" s="169">
        <f>K14*1.3</f>
        <v>271.95999999999998</v>
      </c>
      <c r="I28" s="170"/>
      <c r="J28" s="171"/>
      <c r="K28" s="33"/>
      <c r="L28" s="2"/>
      <c r="M28" s="2"/>
      <c r="N28" s="2"/>
    </row>
    <row r="29" spans="1:18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8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8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8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209.2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7B0E-B86F-4795-BE01-30ED8175BF0B}">
  <dimension ref="A1:T66"/>
  <sheetViews>
    <sheetView view="pageBreakPreview" zoomScaleNormal="100" zoomScaleSheetLayoutView="10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List!B37</f>
        <v>46177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List!A37</f>
        <v>34</v>
      </c>
      <c r="C3" s="253"/>
      <c r="D3" s="253"/>
      <c r="E3" s="253"/>
      <c r="F3" s="45" t="s">
        <v>34</v>
      </c>
      <c r="G3" s="254" t="str">
        <f>List!C37</f>
        <v>중로(집) 3-16 (No.36 ~ No.50) 노체 15단(45층) - 2회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7.8703703703703705E-4</v>
      </c>
      <c r="B8" s="140">
        <f>C8*0.07065</f>
        <v>2.47275</v>
      </c>
      <c r="C8" s="20">
        <v>35</v>
      </c>
      <c r="D8" s="149">
        <v>0.28999999999999998</v>
      </c>
      <c r="E8" s="22">
        <v>0.06</v>
      </c>
      <c r="F8" s="150">
        <f>IFERROR((D8+E8)/2," ")</f>
        <v>0.17499999999999999</v>
      </c>
      <c r="G8" s="23">
        <f>F8-F7</f>
        <v>0.17499999999999999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0.16</v>
      </c>
      <c r="T8" s="133">
        <f>F8+Q8</f>
        <v>0.27500000000000002</v>
      </c>
    </row>
    <row r="9" spans="1:20" ht="14.25" customHeight="1" thickTop="1">
      <c r="A9" s="144">
        <f ca="1">A8+TIME(,RAND()*1+(1-0),RAND()*10+10)</f>
        <v>1.6435185185185185E-3</v>
      </c>
      <c r="B9" s="140">
        <f t="shared" ref="B9:B23" si="0">C9*0.07065</f>
        <v>4.9455</v>
      </c>
      <c r="C9" s="20">
        <v>70</v>
      </c>
      <c r="D9" s="149">
        <v>0.4</v>
      </c>
      <c r="E9" s="22">
        <v>0.36</v>
      </c>
      <c r="F9" s="150">
        <f t="shared" ref="F9:F23" si="1">IFERROR((D9+E9)/2," ")</f>
        <v>0.38</v>
      </c>
      <c r="G9" s="23">
        <f>F9-$F$7</f>
        <v>0.38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0.45999999999999996</v>
      </c>
      <c r="T9" s="133">
        <f t="shared" si="2"/>
        <v>0.48</v>
      </c>
    </row>
    <row r="10" spans="1:20" ht="14.25" customHeight="1">
      <c r="A10" s="144">
        <f ca="1">A9+TIME(,RAND()*1+(1-0),RAND()*10+5)</f>
        <v>2.4189814814814816E-3</v>
      </c>
      <c r="B10" s="140">
        <f t="shared" si="0"/>
        <v>7.4182500000000005</v>
      </c>
      <c r="C10" s="20">
        <v>105</v>
      </c>
      <c r="D10" s="149">
        <v>0.78</v>
      </c>
      <c r="E10" s="22">
        <v>0.52</v>
      </c>
      <c r="F10" s="150">
        <f t="shared" si="1"/>
        <v>0.65</v>
      </c>
      <c r="G10" s="23">
        <f t="shared" ref="G10:G23" si="3">F10-$F$7</f>
        <v>0.65</v>
      </c>
      <c r="H10" s="217"/>
      <c r="I10" s="218"/>
      <c r="J10" s="219"/>
      <c r="K10" s="24" t="s">
        <v>15</v>
      </c>
      <c r="L10" s="25">
        <v>0</v>
      </c>
      <c r="M10" s="62">
        <f>K13</f>
        <v>524</v>
      </c>
      <c r="N10" s="2"/>
      <c r="P10" s="3">
        <v>0.1</v>
      </c>
      <c r="Q10" s="3">
        <v>0.1</v>
      </c>
      <c r="S10" s="133">
        <f t="shared" si="2"/>
        <v>0.62</v>
      </c>
      <c r="T10" s="133">
        <f t="shared" si="2"/>
        <v>0.75</v>
      </c>
    </row>
    <row r="11" spans="1:20" ht="14.25" customHeight="1" thickBot="1">
      <c r="A11" s="144">
        <f ca="1">A10+TIME(,RAND()*1+(1-0),RAND()*10+5)</f>
        <v>3.1712962962962962E-3</v>
      </c>
      <c r="B11" s="140">
        <f t="shared" si="0"/>
        <v>9.891</v>
      </c>
      <c r="C11" s="20">
        <v>140</v>
      </c>
      <c r="D11" s="149">
        <v>1.05</v>
      </c>
      <c r="E11" s="22">
        <v>0.97</v>
      </c>
      <c r="F11" s="150">
        <f t="shared" si="1"/>
        <v>1.01</v>
      </c>
      <c r="G11" s="23">
        <f t="shared" si="3"/>
        <v>1.01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1.07</v>
      </c>
      <c r="T11" s="133">
        <f t="shared" si="2"/>
        <v>1.1100000000000001</v>
      </c>
    </row>
    <row r="12" spans="1:20" ht="14.25" customHeight="1" thickTop="1">
      <c r="A12" s="144">
        <f ca="1">A11+TIME(,RAND()*1+(1-0),RAND()*10+10)</f>
        <v>4.0277777777777777E-3</v>
      </c>
      <c r="B12" s="140">
        <f t="shared" si="0"/>
        <v>12.363750000000001</v>
      </c>
      <c r="C12" s="20">
        <v>175</v>
      </c>
      <c r="D12" s="149">
        <v>1.1299999999999999</v>
      </c>
      <c r="E12" s="22">
        <v>1.3</v>
      </c>
      <c r="F12" s="150">
        <f t="shared" si="1"/>
        <v>1.2149999999999999</v>
      </c>
      <c r="G12" s="23">
        <f t="shared" si="3"/>
        <v>1.2149999999999999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1.4000000000000001</v>
      </c>
      <c r="T12" s="133">
        <f t="shared" si="2"/>
        <v>1.3149999999999999</v>
      </c>
    </row>
    <row r="13" spans="1:20" ht="14.25" customHeight="1">
      <c r="A13" s="144">
        <f ca="1">A12+TIME(,RAND()*1+(1-0),RAND()*10+10)</f>
        <v>4.9305555555555552E-3</v>
      </c>
      <c r="B13" s="140">
        <f t="shared" si="0"/>
        <v>14.836500000000001</v>
      </c>
      <c r="C13" s="20">
        <v>210</v>
      </c>
      <c r="D13" s="149">
        <v>1.26</v>
      </c>
      <c r="E13" s="22">
        <v>1.35</v>
      </c>
      <c r="F13" s="150">
        <f t="shared" si="1"/>
        <v>1.3050000000000002</v>
      </c>
      <c r="G13" s="23">
        <f t="shared" si="3"/>
        <v>1.3050000000000002</v>
      </c>
      <c r="H13" s="217" t="s">
        <v>16</v>
      </c>
      <c r="I13" s="218"/>
      <c r="J13" s="219" t="s">
        <v>23</v>
      </c>
      <c r="K13" s="30">
        <v>524</v>
      </c>
      <c r="L13" s="25">
        <f>M10</f>
        <v>524</v>
      </c>
      <c r="M13" s="26">
        <f>L13</f>
        <v>524</v>
      </c>
      <c r="N13" s="2"/>
      <c r="P13" s="3">
        <v>0.1</v>
      </c>
      <c r="Q13" s="3">
        <v>0.1</v>
      </c>
      <c r="S13" s="133">
        <f t="shared" si="2"/>
        <v>1.4500000000000002</v>
      </c>
      <c r="T13" s="133">
        <f t="shared" si="2"/>
        <v>1.4050000000000002</v>
      </c>
    </row>
    <row r="14" spans="1:20" ht="14.25" customHeight="1" thickBot="1">
      <c r="A14" s="144">
        <f ca="1">A13+TIME(,RAND()*1+(1-0),RAND()*10+10)</f>
        <v>5.7754629629629623E-3</v>
      </c>
      <c r="B14" s="140">
        <f t="shared" si="0"/>
        <v>17.309250000000002</v>
      </c>
      <c r="C14" s="20">
        <v>245</v>
      </c>
      <c r="D14" s="149">
        <v>1.4</v>
      </c>
      <c r="E14" s="22">
        <v>1.5</v>
      </c>
      <c r="F14" s="150">
        <f t="shared" si="1"/>
        <v>1.45</v>
      </c>
      <c r="G14" s="23">
        <f t="shared" si="3"/>
        <v>1.45</v>
      </c>
      <c r="H14" s="217"/>
      <c r="I14" s="218"/>
      <c r="J14" s="219"/>
      <c r="K14" s="17">
        <f>K13/2.5</f>
        <v>209.6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</v>
      </c>
      <c r="T14" s="133">
        <f t="shared" si="2"/>
        <v>1.55</v>
      </c>
    </row>
    <row r="15" spans="1:20" ht="14.25" customHeight="1" thickTop="1" thickBot="1">
      <c r="A15" s="144">
        <f ca="1">A14+TIME(,RAND()*1+(1-0),RAND()*10+10)</f>
        <v>6.6782407407407398E-3</v>
      </c>
      <c r="B15" s="140">
        <f t="shared" si="0"/>
        <v>19.782</v>
      </c>
      <c r="C15" s="20">
        <v>280</v>
      </c>
      <c r="D15" s="149">
        <v>1.58</v>
      </c>
      <c r="E15" s="22">
        <v>1.69</v>
      </c>
      <c r="F15" s="150">
        <f t="shared" si="1"/>
        <v>1.635</v>
      </c>
      <c r="G15" s="23">
        <f t="shared" si="3"/>
        <v>1.635</v>
      </c>
      <c r="H15" s="217" t="s">
        <v>16</v>
      </c>
      <c r="I15" s="218"/>
      <c r="J15" s="220" t="s">
        <v>27</v>
      </c>
      <c r="K15" s="2">
        <f>ROUND(K14,1)*1.3</f>
        <v>272.48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1.79</v>
      </c>
      <c r="T15" s="133">
        <f t="shared" si="2"/>
        <v>1.7350000000000001</v>
      </c>
    </row>
    <row r="16" spans="1:20" ht="14.25" customHeight="1">
      <c r="A16" s="144">
        <f ca="1">A15+TIME(,RAND()*1+(1-0),RAND()*10+10)</f>
        <v>7.5347222222222213E-3</v>
      </c>
      <c r="B16" s="140">
        <f t="shared" si="0"/>
        <v>22.254750000000001</v>
      </c>
      <c r="C16" s="20">
        <v>315</v>
      </c>
      <c r="D16" s="149">
        <v>1.72</v>
      </c>
      <c r="E16" s="22">
        <v>1.85</v>
      </c>
      <c r="F16" s="150">
        <f t="shared" si="1"/>
        <v>1.7850000000000001</v>
      </c>
      <c r="G16" s="23">
        <f t="shared" si="3"/>
        <v>1.7850000000000001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8.4143518518518517E-3</v>
      </c>
      <c r="B17" s="140">
        <f t="shared" si="0"/>
        <v>24.727500000000003</v>
      </c>
      <c r="C17" s="20">
        <v>350</v>
      </c>
      <c r="D17" s="149">
        <v>1.82</v>
      </c>
      <c r="E17" s="22">
        <v>1.92</v>
      </c>
      <c r="F17" s="150">
        <f t="shared" si="1"/>
        <v>1.87</v>
      </c>
      <c r="G17" s="23">
        <f t="shared" si="3"/>
        <v>1.87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9.2708333333333323E-3</v>
      </c>
      <c r="B18" s="140">
        <f t="shared" si="0"/>
        <v>27.20025</v>
      </c>
      <c r="C18" s="20">
        <v>385</v>
      </c>
      <c r="D18" s="149">
        <v>1.87</v>
      </c>
      <c r="E18" s="22">
        <v>2</v>
      </c>
      <c r="F18" s="150">
        <f t="shared" si="1"/>
        <v>1.9350000000000001</v>
      </c>
      <c r="G18" s="23">
        <f t="shared" si="3"/>
        <v>1.9350000000000001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1.0138888888888888E-2</v>
      </c>
      <c r="B19" s="140">
        <f t="shared" si="0"/>
        <v>29.673000000000002</v>
      </c>
      <c r="C19" s="20">
        <v>420</v>
      </c>
      <c r="D19" s="149">
        <v>2.1</v>
      </c>
      <c r="E19" s="22">
        <v>2.08</v>
      </c>
      <c r="F19" s="150">
        <f t="shared" si="1"/>
        <v>2.09</v>
      </c>
      <c r="G19" s="23">
        <f t="shared" si="3"/>
        <v>2.09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1.0949074074074073E-2</v>
      </c>
      <c r="B20" s="140">
        <f t="shared" si="0"/>
        <v>32.14575</v>
      </c>
      <c r="C20" s="20">
        <v>455</v>
      </c>
      <c r="D20" s="149">
        <v>2.11</v>
      </c>
      <c r="E20" s="22">
        <v>2.2799999999999998</v>
      </c>
      <c r="F20" s="150">
        <f t="shared" si="1"/>
        <v>2.1949999999999998</v>
      </c>
      <c r="G20" s="23">
        <f t="shared" si="3"/>
        <v>2.1949999999999998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1.1840277777777776E-2</v>
      </c>
      <c r="B21" s="140">
        <f t="shared" si="0"/>
        <v>34.618500000000004</v>
      </c>
      <c r="C21" s="20">
        <v>490</v>
      </c>
      <c r="D21" s="149">
        <v>2.3199999999999998</v>
      </c>
      <c r="E21" s="22">
        <v>2.44</v>
      </c>
      <c r="F21" s="150">
        <f t="shared" si="1"/>
        <v>2.38</v>
      </c>
      <c r="G21" s="23">
        <f t="shared" si="3"/>
        <v>2.38</v>
      </c>
      <c r="H21" s="204" t="str">
        <f>"K30  = "&amp;ROUND(K13,1)&amp;"÷2.5"</f>
        <v>K30  = 524÷2.5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1.2731481481481479E-2</v>
      </c>
      <c r="B22" s="140">
        <f t="shared" si="0"/>
        <v>37.091250000000002</v>
      </c>
      <c r="C22" s="20">
        <v>525</v>
      </c>
      <c r="D22" s="149">
        <v>2.44</v>
      </c>
      <c r="E22" s="22">
        <v>2.6</v>
      </c>
      <c r="F22" s="150">
        <f t="shared" si="1"/>
        <v>2.52</v>
      </c>
      <c r="G22" s="23">
        <f t="shared" si="3"/>
        <v>2.52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1.3645833333333331E-2</v>
      </c>
      <c r="B23" s="140">
        <f t="shared" si="0"/>
        <v>39.564</v>
      </c>
      <c r="C23" s="20">
        <v>560</v>
      </c>
      <c r="D23" s="149">
        <v>2.56</v>
      </c>
      <c r="E23" s="22">
        <v>2.71</v>
      </c>
      <c r="F23" s="150">
        <f t="shared" si="1"/>
        <v>2.6349999999999998</v>
      </c>
      <c r="G23" s="23">
        <f t="shared" si="3"/>
        <v>2.6349999999999998</v>
      </c>
      <c r="H23" s="212">
        <f>K14</f>
        <v>209.6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209.6×1.3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272.48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209.6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637E-13C3-4D28-A401-F2A318E07B99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List!B36</f>
        <v>46177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List!A36</f>
        <v>33</v>
      </c>
      <c r="C3" s="253"/>
      <c r="D3" s="253"/>
      <c r="E3" s="253"/>
      <c r="F3" s="45" t="s">
        <v>34</v>
      </c>
      <c r="G3" s="254" t="str">
        <f>List!C36</f>
        <v>중로(집) 3-16 (No.36 ~ No.50) 노체 15단(45층) - 1회</v>
      </c>
      <c r="H3" s="254"/>
      <c r="I3" s="254"/>
      <c r="J3" s="255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0.23</v>
      </c>
      <c r="E8" s="22">
        <v>0.34</v>
      </c>
      <c r="F8" s="150">
        <f>IFERROR((D8+E8)/2," ")</f>
        <v>0.28500000000000003</v>
      </c>
      <c r="G8" s="23">
        <f>F8-F7</f>
        <v>0.28500000000000003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0.44000000000000006</v>
      </c>
      <c r="T8" s="133">
        <f>F8+Q8</f>
        <v>0.38500000000000001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3" si="0">C9*0.07065</f>
        <v>4.9455</v>
      </c>
      <c r="C9" s="20">
        <v>70</v>
      </c>
      <c r="D9" s="149">
        <v>0.51</v>
      </c>
      <c r="E9" s="22">
        <v>0.41</v>
      </c>
      <c r="F9" s="150">
        <f t="shared" ref="F9:F23" si="1">IFERROR((D9+E9)/2," ")</f>
        <v>0.45999999999999996</v>
      </c>
      <c r="G9" s="23">
        <f>F9-$F$7</f>
        <v>0.45999999999999996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0.51</v>
      </c>
      <c r="T9" s="133">
        <f t="shared" si="2"/>
        <v>0.55999999999999994</v>
      </c>
    </row>
    <row r="10" spans="1:20" ht="14.25" customHeight="1">
      <c r="A10" s="144">
        <f ca="1">A9+TIME(,RAND()*1+(1-0),RAND()*10+5)</f>
        <v>2.4189814814814812E-3</v>
      </c>
      <c r="B10" s="140">
        <f t="shared" si="0"/>
        <v>7.4182500000000005</v>
      </c>
      <c r="C10" s="20">
        <v>105</v>
      </c>
      <c r="D10" s="149">
        <v>0.75</v>
      </c>
      <c r="E10" s="22">
        <v>0.8</v>
      </c>
      <c r="F10" s="150">
        <f t="shared" si="1"/>
        <v>0.77500000000000002</v>
      </c>
      <c r="G10" s="23">
        <f t="shared" ref="G10:G23" si="3">F10-$F$7</f>
        <v>0.77500000000000002</v>
      </c>
      <c r="H10" s="217"/>
      <c r="I10" s="218"/>
      <c r="J10" s="219"/>
      <c r="K10" s="24" t="s">
        <v>15</v>
      </c>
      <c r="L10" s="25">
        <v>0</v>
      </c>
      <c r="M10" s="62">
        <f>K13</f>
        <v>530</v>
      </c>
      <c r="N10" s="2"/>
      <c r="P10" s="3">
        <v>0.1</v>
      </c>
      <c r="Q10" s="3">
        <v>0.1</v>
      </c>
      <c r="S10" s="133">
        <f t="shared" si="2"/>
        <v>0.9</v>
      </c>
      <c r="T10" s="133">
        <f t="shared" si="2"/>
        <v>0.875</v>
      </c>
    </row>
    <row r="11" spans="1:20" ht="14.25" customHeight="1" thickBot="1">
      <c r="A11" s="144">
        <f ca="1">A10+TIME(,RAND()*1+(1-0),RAND()*10+5)</f>
        <v>3.1828703703703702E-3</v>
      </c>
      <c r="B11" s="140">
        <f t="shared" si="0"/>
        <v>9.891</v>
      </c>
      <c r="C11" s="20">
        <v>140</v>
      </c>
      <c r="D11" s="149">
        <v>0.92</v>
      </c>
      <c r="E11" s="22">
        <v>0.95</v>
      </c>
      <c r="F11" s="150">
        <f t="shared" si="1"/>
        <v>0.93500000000000005</v>
      </c>
      <c r="G11" s="23">
        <f t="shared" si="3"/>
        <v>0.93500000000000005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1.05</v>
      </c>
      <c r="T11" s="133">
        <f t="shared" si="2"/>
        <v>1.0350000000000001</v>
      </c>
    </row>
    <row r="12" spans="1:20" ht="14.25" customHeight="1" thickTop="1">
      <c r="A12" s="144">
        <f ca="1">A11+TIME(,RAND()*1+(1-0),RAND()*10+10)</f>
        <v>4.0625000000000001E-3</v>
      </c>
      <c r="B12" s="140">
        <f t="shared" si="0"/>
        <v>12.363750000000001</v>
      </c>
      <c r="C12" s="20">
        <v>175</v>
      </c>
      <c r="D12" s="149">
        <v>1.26</v>
      </c>
      <c r="E12" s="22">
        <v>0.96</v>
      </c>
      <c r="F12" s="150">
        <f t="shared" si="1"/>
        <v>1.1099999999999999</v>
      </c>
      <c r="G12" s="23">
        <f t="shared" si="3"/>
        <v>1.1099999999999999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1.06</v>
      </c>
      <c r="T12" s="133">
        <f t="shared" si="2"/>
        <v>1.21</v>
      </c>
    </row>
    <row r="13" spans="1:20" ht="14.25" customHeight="1">
      <c r="A13" s="144">
        <f ca="1">A12+TIME(,RAND()*1+(1-0),RAND()*10+10)</f>
        <v>4.8958333333333336E-3</v>
      </c>
      <c r="B13" s="140">
        <f t="shared" si="0"/>
        <v>14.836500000000001</v>
      </c>
      <c r="C13" s="20">
        <v>210</v>
      </c>
      <c r="D13" s="149">
        <v>1.3</v>
      </c>
      <c r="E13" s="22">
        <v>1.17</v>
      </c>
      <c r="F13" s="150">
        <f t="shared" si="1"/>
        <v>1.2349999999999999</v>
      </c>
      <c r="G13" s="23">
        <f t="shared" si="3"/>
        <v>1.2349999999999999</v>
      </c>
      <c r="H13" s="217" t="s">
        <v>16</v>
      </c>
      <c r="I13" s="218"/>
      <c r="J13" s="219" t="s">
        <v>23</v>
      </c>
      <c r="K13" s="30">
        <v>530</v>
      </c>
      <c r="L13" s="25">
        <f>M10</f>
        <v>530</v>
      </c>
      <c r="M13" s="26">
        <f>L13</f>
        <v>530</v>
      </c>
      <c r="N13" s="2"/>
      <c r="P13" s="3">
        <v>0.1</v>
      </c>
      <c r="Q13" s="3">
        <v>0.1</v>
      </c>
      <c r="S13" s="133">
        <f t="shared" si="2"/>
        <v>1.27</v>
      </c>
      <c r="T13" s="133">
        <f t="shared" si="2"/>
        <v>1.335</v>
      </c>
    </row>
    <row r="14" spans="1:20" ht="14.25" customHeight="1" thickBot="1">
      <c r="A14" s="144">
        <f ca="1">A13+TIME(,RAND()*1+(1-0),RAND()*10+10)</f>
        <v>5.7986111111111112E-3</v>
      </c>
      <c r="B14" s="140">
        <f t="shared" si="0"/>
        <v>17.309250000000002</v>
      </c>
      <c r="C14" s="20">
        <v>245</v>
      </c>
      <c r="D14" s="149">
        <v>1.39</v>
      </c>
      <c r="E14" s="22">
        <v>1.32</v>
      </c>
      <c r="F14" s="150">
        <f t="shared" si="1"/>
        <v>1.355</v>
      </c>
      <c r="G14" s="23">
        <f t="shared" si="3"/>
        <v>1.355</v>
      </c>
      <c r="H14" s="217"/>
      <c r="I14" s="218"/>
      <c r="J14" s="219"/>
      <c r="K14" s="17">
        <f>K13/2.5</f>
        <v>212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1.4200000000000002</v>
      </c>
      <c r="T14" s="133">
        <f t="shared" si="2"/>
        <v>1.4550000000000001</v>
      </c>
    </row>
    <row r="15" spans="1:20" ht="14.25" customHeight="1" thickTop="1" thickBot="1">
      <c r="A15" s="144">
        <f ca="1">A14+TIME(,RAND()*1+(1-0),RAND()*10+10)</f>
        <v>6.6782407407407407E-3</v>
      </c>
      <c r="B15" s="140">
        <f t="shared" si="0"/>
        <v>19.782</v>
      </c>
      <c r="C15" s="20">
        <v>280</v>
      </c>
      <c r="D15" s="149">
        <v>1.55</v>
      </c>
      <c r="E15" s="22">
        <v>1.48</v>
      </c>
      <c r="F15" s="150">
        <f t="shared" si="1"/>
        <v>1.5150000000000001</v>
      </c>
      <c r="G15" s="23">
        <f t="shared" si="3"/>
        <v>1.5150000000000001</v>
      </c>
      <c r="H15" s="217" t="s">
        <v>16</v>
      </c>
      <c r="I15" s="218"/>
      <c r="J15" s="220" t="s">
        <v>27</v>
      </c>
      <c r="K15" s="2">
        <f>ROUND(K14,1)*1.3</f>
        <v>275.60000000000002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1.58</v>
      </c>
      <c r="T15" s="133">
        <f t="shared" si="2"/>
        <v>1.6150000000000002</v>
      </c>
    </row>
    <row r="16" spans="1:20" ht="14.25" customHeight="1">
      <c r="A16" s="144">
        <f ca="1">A15+TIME(,RAND()*1+(1-0),RAND()*10+10)</f>
        <v>7.5694444444444446E-3</v>
      </c>
      <c r="B16" s="140">
        <f t="shared" si="0"/>
        <v>22.254750000000001</v>
      </c>
      <c r="C16" s="20">
        <v>315</v>
      </c>
      <c r="D16" s="149">
        <v>1.7</v>
      </c>
      <c r="E16" s="22">
        <v>1.68</v>
      </c>
      <c r="F16" s="150">
        <f t="shared" si="1"/>
        <v>1.69</v>
      </c>
      <c r="G16" s="23">
        <f t="shared" si="3"/>
        <v>1.69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8.3796296296296292E-3</v>
      </c>
      <c r="B17" s="140">
        <f t="shared" si="0"/>
        <v>24.727500000000003</v>
      </c>
      <c r="C17" s="20">
        <v>350</v>
      </c>
      <c r="D17" s="149">
        <v>1.81</v>
      </c>
      <c r="E17" s="22">
        <v>1.8</v>
      </c>
      <c r="F17" s="150">
        <f t="shared" si="1"/>
        <v>1.8050000000000002</v>
      </c>
      <c r="G17" s="23">
        <f t="shared" si="3"/>
        <v>1.8050000000000002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9.1898148148148139E-3</v>
      </c>
      <c r="B18" s="140">
        <f t="shared" si="0"/>
        <v>27.20025</v>
      </c>
      <c r="C18" s="20">
        <v>385</v>
      </c>
      <c r="D18" s="149">
        <v>1.96</v>
      </c>
      <c r="E18" s="22">
        <v>1.97</v>
      </c>
      <c r="F18" s="150">
        <f t="shared" si="1"/>
        <v>1.9649999999999999</v>
      </c>
      <c r="G18" s="23">
        <f t="shared" si="3"/>
        <v>1.9649999999999999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1.0104166666666666E-2</v>
      </c>
      <c r="B19" s="140">
        <f t="shared" si="0"/>
        <v>29.673000000000002</v>
      </c>
      <c r="C19" s="20">
        <v>420</v>
      </c>
      <c r="D19" s="149">
        <v>2.0099999999999998</v>
      </c>
      <c r="E19" s="22">
        <v>2.09</v>
      </c>
      <c r="F19" s="150">
        <f t="shared" si="1"/>
        <v>2.0499999999999998</v>
      </c>
      <c r="G19" s="23">
        <f t="shared" si="3"/>
        <v>2.0499999999999998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1.0983796296296295E-2</v>
      </c>
      <c r="B20" s="140">
        <f t="shared" si="0"/>
        <v>32.14575</v>
      </c>
      <c r="C20" s="20">
        <v>455</v>
      </c>
      <c r="D20" s="149">
        <v>2.14</v>
      </c>
      <c r="E20" s="22">
        <v>2.23</v>
      </c>
      <c r="F20" s="150">
        <f t="shared" si="1"/>
        <v>2.1850000000000001</v>
      </c>
      <c r="G20" s="23">
        <f t="shared" si="3"/>
        <v>2.1850000000000001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1.1874999999999998E-2</v>
      </c>
      <c r="B21" s="140">
        <f t="shared" si="0"/>
        <v>34.618500000000004</v>
      </c>
      <c r="C21" s="20">
        <v>490</v>
      </c>
      <c r="D21" s="149">
        <v>2.2799999999999998</v>
      </c>
      <c r="E21" s="22">
        <v>2.2999999999999998</v>
      </c>
      <c r="F21" s="150">
        <f t="shared" si="1"/>
        <v>2.29</v>
      </c>
      <c r="G21" s="23">
        <f t="shared" si="3"/>
        <v>2.29</v>
      </c>
      <c r="H21" s="204" t="str">
        <f>"K30  = "&amp;ROUND(K13,1)&amp;"÷2.5"</f>
        <v>K30  = 530÷2.5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1.2754629629629628E-2</v>
      </c>
      <c r="B22" s="140">
        <f t="shared" si="0"/>
        <v>37.091250000000002</v>
      </c>
      <c r="C22" s="20">
        <v>525</v>
      </c>
      <c r="D22" s="149">
        <v>2.59</v>
      </c>
      <c r="E22" s="22">
        <v>2.472</v>
      </c>
      <c r="F22" s="150">
        <f t="shared" si="1"/>
        <v>2.5309999999999997</v>
      </c>
      <c r="G22" s="23">
        <f t="shared" si="3"/>
        <v>2.5309999999999997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1.3645833333333331E-2</v>
      </c>
      <c r="B23" s="140">
        <f t="shared" si="0"/>
        <v>39.564</v>
      </c>
      <c r="C23" s="20">
        <v>560</v>
      </c>
      <c r="D23" s="149">
        <v>2.69</v>
      </c>
      <c r="E23" s="22">
        <v>2.52</v>
      </c>
      <c r="F23" s="150">
        <f t="shared" si="1"/>
        <v>2.605</v>
      </c>
      <c r="G23" s="23">
        <f t="shared" si="3"/>
        <v>2.605</v>
      </c>
      <c r="H23" s="212">
        <f>K14</f>
        <v>212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212×1.3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275.60000000000002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212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54A7-59B0-43FE-B5DC-A8511CE48EDE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List!B35</f>
        <v>46175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List!A35</f>
        <v>32</v>
      </c>
      <c r="C3" s="253"/>
      <c r="D3" s="253"/>
      <c r="E3" s="253"/>
      <c r="F3" s="45" t="s">
        <v>34</v>
      </c>
      <c r="G3" s="281" t="str">
        <f>List!C35</f>
        <v>중로(집) 3-12 (No.17 ~ No.20) 노체 8단(24층)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0.11</v>
      </c>
      <c r="E8" s="22">
        <v>0.31</v>
      </c>
      <c r="F8" s="150">
        <f>IFERROR((D8+E8)/2," ")</f>
        <v>0.21</v>
      </c>
      <c r="G8" s="23">
        <f>F8-F7</f>
        <v>0.21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0.41000000000000003</v>
      </c>
      <c r="T8" s="133">
        <f>F8+Q8</f>
        <v>0.31</v>
      </c>
    </row>
    <row r="9" spans="1:20" ht="14.25" customHeight="1" thickTop="1">
      <c r="A9" s="144">
        <f ca="1">A8+TIME(,RAND()*1+(1-0),RAND()*10+10)</f>
        <v>1.5625000000000001E-3</v>
      </c>
      <c r="B9" s="140">
        <f t="shared" ref="B9:B23" si="0">C9*0.07065</f>
        <v>4.9455</v>
      </c>
      <c r="C9" s="20">
        <v>70</v>
      </c>
      <c r="D9" s="149">
        <v>0.31</v>
      </c>
      <c r="E9" s="22">
        <v>0.57999999999999996</v>
      </c>
      <c r="F9" s="150">
        <f t="shared" ref="F9:F23" si="1">IFERROR((D9+E9)/2," ")</f>
        <v>0.44499999999999995</v>
      </c>
      <c r="G9" s="23">
        <f>F9-$F$7</f>
        <v>0.44499999999999995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0.67999999999999994</v>
      </c>
      <c r="T9" s="133">
        <f t="shared" si="2"/>
        <v>0.54499999999999993</v>
      </c>
    </row>
    <row r="10" spans="1:20" ht="14.25" customHeight="1">
      <c r="A10" s="144">
        <f ca="1">A9+TIME(,RAND()*1+(1-0),RAND()*10+5)</f>
        <v>2.3379629629629631E-3</v>
      </c>
      <c r="B10" s="140">
        <f t="shared" si="0"/>
        <v>7.4182500000000005</v>
      </c>
      <c r="C10" s="20">
        <v>105</v>
      </c>
      <c r="D10" s="149">
        <v>0.52</v>
      </c>
      <c r="E10" s="22">
        <v>1.01</v>
      </c>
      <c r="F10" s="150">
        <f t="shared" si="1"/>
        <v>0.76500000000000001</v>
      </c>
      <c r="G10" s="23">
        <f t="shared" ref="G10:G23" si="3">F10-$F$7</f>
        <v>0.76500000000000001</v>
      </c>
      <c r="H10" s="217"/>
      <c r="I10" s="218"/>
      <c r="J10" s="219"/>
      <c r="K10" s="24" t="s">
        <v>15</v>
      </c>
      <c r="L10" s="25">
        <v>0</v>
      </c>
      <c r="M10" s="62">
        <f>K13</f>
        <v>502</v>
      </c>
      <c r="N10" s="2"/>
      <c r="P10" s="3">
        <v>0.1</v>
      </c>
      <c r="Q10" s="3">
        <v>0.1</v>
      </c>
      <c r="S10" s="133">
        <f t="shared" si="2"/>
        <v>1.1100000000000001</v>
      </c>
      <c r="T10" s="133">
        <f t="shared" si="2"/>
        <v>0.86499999999999999</v>
      </c>
    </row>
    <row r="11" spans="1:20" ht="14.25" customHeight="1" thickBot="1">
      <c r="A11" s="144">
        <f ca="1">A10+TIME(,RAND()*1+(1-0),RAND()*10+5)</f>
        <v>3.1134259259259262E-3</v>
      </c>
      <c r="B11" s="140">
        <f t="shared" si="0"/>
        <v>9.891</v>
      </c>
      <c r="C11" s="20">
        <v>140</v>
      </c>
      <c r="D11" s="149">
        <v>0.75</v>
      </c>
      <c r="E11" s="22">
        <v>1.22</v>
      </c>
      <c r="F11" s="150">
        <f t="shared" si="1"/>
        <v>0.98499999999999999</v>
      </c>
      <c r="G11" s="23">
        <f t="shared" si="3"/>
        <v>0.98499999999999999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1.32</v>
      </c>
      <c r="T11" s="133">
        <f t="shared" si="2"/>
        <v>1.085</v>
      </c>
    </row>
    <row r="12" spans="1:20" ht="14.25" customHeight="1" thickTop="1">
      <c r="A12" s="144">
        <f ca="1">A11+TIME(,RAND()*1+(1-0),RAND()*10+10)</f>
        <v>3.9467592592592592E-3</v>
      </c>
      <c r="B12" s="140">
        <f t="shared" si="0"/>
        <v>12.363750000000001</v>
      </c>
      <c r="C12" s="20">
        <v>175</v>
      </c>
      <c r="D12" s="149">
        <v>1.1000000000000001</v>
      </c>
      <c r="E12" s="22">
        <v>1.62</v>
      </c>
      <c r="F12" s="150">
        <f t="shared" si="1"/>
        <v>1.36</v>
      </c>
      <c r="G12" s="23">
        <f t="shared" si="3"/>
        <v>1.36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1.7200000000000002</v>
      </c>
      <c r="T12" s="133">
        <f t="shared" si="2"/>
        <v>1.4600000000000002</v>
      </c>
    </row>
    <row r="13" spans="1:20" ht="14.25" customHeight="1">
      <c r="A13" s="144">
        <f ca="1">A12+TIME(,RAND()*1+(1-0),RAND()*10+10)</f>
        <v>4.7569444444444447E-3</v>
      </c>
      <c r="B13" s="140">
        <f t="shared" si="0"/>
        <v>14.836500000000001</v>
      </c>
      <c r="C13" s="20">
        <v>210</v>
      </c>
      <c r="D13" s="149">
        <v>1.1299999999999999</v>
      </c>
      <c r="E13" s="22">
        <v>1.85</v>
      </c>
      <c r="F13" s="150">
        <f t="shared" si="1"/>
        <v>1.49</v>
      </c>
      <c r="G13" s="23">
        <f t="shared" si="3"/>
        <v>1.49</v>
      </c>
      <c r="H13" s="217" t="s">
        <v>16</v>
      </c>
      <c r="I13" s="218"/>
      <c r="J13" s="219" t="s">
        <v>23</v>
      </c>
      <c r="K13" s="30">
        <v>502</v>
      </c>
      <c r="L13" s="25">
        <f>M10</f>
        <v>502</v>
      </c>
      <c r="M13" s="26">
        <f>L13</f>
        <v>502</v>
      </c>
      <c r="N13" s="2"/>
      <c r="P13" s="3">
        <v>0.1</v>
      </c>
      <c r="Q13" s="3">
        <v>0.1</v>
      </c>
      <c r="S13" s="133">
        <f t="shared" si="2"/>
        <v>1.9500000000000002</v>
      </c>
      <c r="T13" s="133">
        <f t="shared" si="2"/>
        <v>1.59</v>
      </c>
    </row>
    <row r="14" spans="1:20" ht="14.25" customHeight="1" thickBot="1">
      <c r="A14" s="144">
        <f ca="1">A13+TIME(,RAND()*1+(1-0),RAND()*10+10)</f>
        <v>5.5671296296296302E-3</v>
      </c>
      <c r="B14" s="140">
        <f t="shared" si="0"/>
        <v>17.309250000000002</v>
      </c>
      <c r="C14" s="20">
        <v>245</v>
      </c>
      <c r="D14" s="149">
        <v>1.2</v>
      </c>
      <c r="E14" s="22">
        <v>1.98</v>
      </c>
      <c r="F14" s="150">
        <f t="shared" si="1"/>
        <v>1.5899999999999999</v>
      </c>
      <c r="G14" s="23">
        <f t="shared" si="3"/>
        <v>1.5899999999999999</v>
      </c>
      <c r="H14" s="217"/>
      <c r="I14" s="218"/>
      <c r="J14" s="219"/>
      <c r="K14" s="17">
        <f>K13/2.5</f>
        <v>200.8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2.08</v>
      </c>
      <c r="T14" s="133">
        <f t="shared" si="2"/>
        <v>1.69</v>
      </c>
    </row>
    <row r="15" spans="1:20" ht="14.25" customHeight="1" thickTop="1" thickBot="1">
      <c r="A15" s="144">
        <f ca="1">A14+TIME(,RAND()*1+(1-0),RAND()*10+10)</f>
        <v>6.4351851851851861E-3</v>
      </c>
      <c r="B15" s="140">
        <f t="shared" si="0"/>
        <v>19.782</v>
      </c>
      <c r="C15" s="20">
        <v>280</v>
      </c>
      <c r="D15" s="149">
        <v>1.27</v>
      </c>
      <c r="E15" s="22">
        <v>2.2200000000000002</v>
      </c>
      <c r="F15" s="150">
        <f t="shared" si="1"/>
        <v>1.7450000000000001</v>
      </c>
      <c r="G15" s="23">
        <f t="shared" si="3"/>
        <v>1.7450000000000001</v>
      </c>
      <c r="H15" s="217" t="s">
        <v>16</v>
      </c>
      <c r="I15" s="218"/>
      <c r="J15" s="220" t="s">
        <v>27</v>
      </c>
      <c r="K15" s="2">
        <f>ROUND(K14,1)*1.3</f>
        <v>261.04000000000002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2.3200000000000003</v>
      </c>
      <c r="T15" s="133">
        <f t="shared" si="2"/>
        <v>1.8450000000000002</v>
      </c>
    </row>
    <row r="16" spans="1:20" ht="14.25" customHeight="1">
      <c r="A16" s="144">
        <f ca="1">A15+TIME(,RAND()*1+(1-0),RAND()*10+10)</f>
        <v>7.3379629629629637E-3</v>
      </c>
      <c r="B16" s="140">
        <f t="shared" si="0"/>
        <v>22.254750000000001</v>
      </c>
      <c r="C16" s="20">
        <v>315</v>
      </c>
      <c r="D16" s="149">
        <v>1.48</v>
      </c>
      <c r="E16" s="22">
        <v>2.4500000000000002</v>
      </c>
      <c r="F16" s="150">
        <f t="shared" si="1"/>
        <v>1.9650000000000001</v>
      </c>
      <c r="G16" s="23">
        <f t="shared" si="3"/>
        <v>1.9650000000000001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8.1712962962962963E-3</v>
      </c>
      <c r="B17" s="140">
        <f t="shared" si="0"/>
        <v>24.727500000000003</v>
      </c>
      <c r="C17" s="20">
        <v>350</v>
      </c>
      <c r="D17" s="149">
        <v>1.5</v>
      </c>
      <c r="E17" s="22">
        <v>2.52</v>
      </c>
      <c r="F17" s="150">
        <f t="shared" si="1"/>
        <v>2.0099999999999998</v>
      </c>
      <c r="G17" s="23">
        <f t="shared" si="3"/>
        <v>2.0099999999999998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8.9814814814814809E-3</v>
      </c>
      <c r="B18" s="140">
        <f t="shared" si="0"/>
        <v>27.20025</v>
      </c>
      <c r="C18" s="20">
        <v>385</v>
      </c>
      <c r="D18" s="149">
        <v>1.57</v>
      </c>
      <c r="E18" s="22">
        <v>2.56</v>
      </c>
      <c r="F18" s="150">
        <f t="shared" si="1"/>
        <v>2.0649999999999999</v>
      </c>
      <c r="G18" s="23">
        <f t="shared" si="3"/>
        <v>2.0649999999999999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9.826388888888888E-3</v>
      </c>
      <c r="B19" s="140">
        <f t="shared" si="0"/>
        <v>29.673000000000002</v>
      </c>
      <c r="C19" s="20">
        <v>420</v>
      </c>
      <c r="D19" s="149">
        <v>1.71</v>
      </c>
      <c r="E19" s="22">
        <v>2.68</v>
      </c>
      <c r="F19" s="150">
        <f t="shared" si="1"/>
        <v>2.1950000000000003</v>
      </c>
      <c r="G19" s="23">
        <f t="shared" si="3"/>
        <v>2.1950000000000003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1.0694444444444444E-2</v>
      </c>
      <c r="B20" s="140">
        <f t="shared" si="0"/>
        <v>32.14575</v>
      </c>
      <c r="C20" s="20">
        <v>455</v>
      </c>
      <c r="D20" s="149">
        <v>1.88</v>
      </c>
      <c r="E20" s="22">
        <v>2.74</v>
      </c>
      <c r="F20" s="150">
        <f t="shared" si="1"/>
        <v>2.31</v>
      </c>
      <c r="G20" s="23">
        <f t="shared" si="3"/>
        <v>2.31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1.1516203703703704E-2</v>
      </c>
      <c r="B21" s="140">
        <f t="shared" si="0"/>
        <v>34.618500000000004</v>
      </c>
      <c r="C21" s="20">
        <v>490</v>
      </c>
      <c r="D21" s="149">
        <v>2.2000000000000002</v>
      </c>
      <c r="E21" s="22">
        <v>2.83</v>
      </c>
      <c r="F21" s="150">
        <f t="shared" si="1"/>
        <v>2.5150000000000001</v>
      </c>
      <c r="G21" s="23">
        <f t="shared" si="3"/>
        <v>2.5150000000000001</v>
      </c>
      <c r="H21" s="204" t="str">
        <f>"K30  = "&amp;ROUND(K13,1)&amp;"÷2.5"</f>
        <v>K30  = 502÷2.5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1.2395833333333333E-2</v>
      </c>
      <c r="B22" s="140">
        <f t="shared" si="0"/>
        <v>37.091250000000002</v>
      </c>
      <c r="C22" s="20">
        <v>525</v>
      </c>
      <c r="D22" s="149">
        <v>2.2400000000000002</v>
      </c>
      <c r="E22" s="22">
        <v>2.9159999999999999</v>
      </c>
      <c r="F22" s="150">
        <f t="shared" si="1"/>
        <v>2.5780000000000003</v>
      </c>
      <c r="G22" s="23">
        <f t="shared" si="3"/>
        <v>2.5780000000000003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1.3275462962962963E-2</v>
      </c>
      <c r="B23" s="140">
        <f t="shared" si="0"/>
        <v>39.564</v>
      </c>
      <c r="C23" s="20">
        <v>560</v>
      </c>
      <c r="D23" s="149">
        <v>2.31</v>
      </c>
      <c r="E23" s="22">
        <v>2.98</v>
      </c>
      <c r="F23" s="150">
        <f t="shared" si="1"/>
        <v>2.645</v>
      </c>
      <c r="G23" s="23">
        <f t="shared" si="3"/>
        <v>2.645</v>
      </c>
      <c r="H23" s="212">
        <f>K14</f>
        <v>200.8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200.8×1.3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261.04000000000002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200.8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ECEF-A927-408F-8448-CF492EFB62C0}">
  <dimension ref="A1:T66"/>
  <sheetViews>
    <sheetView view="pageBreakPreview" topLeftCell="D1" zoomScale="220" zoomScaleNormal="100" zoomScaleSheetLayoutView="220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List!B34</f>
        <v>46175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List!A34</f>
        <v>31</v>
      </c>
      <c r="C3" s="253"/>
      <c r="D3" s="253"/>
      <c r="E3" s="253"/>
      <c r="F3" s="45" t="s">
        <v>34</v>
      </c>
      <c r="G3" s="281" t="str">
        <f>List!C34</f>
        <v>중로(집) 3-12 (No.17 ~ No.20) 노체 7단(21층)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0.19</v>
      </c>
      <c r="E8" s="22">
        <v>0.09</v>
      </c>
      <c r="F8" s="150">
        <f>IFERROR((D8+E8)/2," ")</f>
        <v>0.14000000000000001</v>
      </c>
      <c r="G8" s="23">
        <f>F8-F7</f>
        <v>0.14000000000000001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0.19</v>
      </c>
      <c r="T8" s="133">
        <f>F8+Q8</f>
        <v>0.24000000000000002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3" si="0">C9*0.07065</f>
        <v>4.9455</v>
      </c>
      <c r="C9" s="20">
        <v>70</v>
      </c>
      <c r="D9" s="149">
        <v>0.42</v>
      </c>
      <c r="E9" s="22">
        <v>0.25</v>
      </c>
      <c r="F9" s="150">
        <f t="shared" ref="F9:F23" si="1">IFERROR((D9+E9)/2," ")</f>
        <v>0.33499999999999996</v>
      </c>
      <c r="G9" s="23">
        <f>F9-$F$7</f>
        <v>0.33499999999999996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0.35</v>
      </c>
      <c r="T9" s="133">
        <f t="shared" si="2"/>
        <v>0.43499999999999994</v>
      </c>
    </row>
    <row r="10" spans="1:20" ht="14.25" customHeight="1">
      <c r="A10" s="144">
        <f ca="1">A9+TIME(,RAND()*1+(1-0),RAND()*10+5)</f>
        <v>2.3726851851851851E-3</v>
      </c>
      <c r="B10" s="140">
        <f t="shared" si="0"/>
        <v>7.4182500000000005</v>
      </c>
      <c r="C10" s="20">
        <v>105</v>
      </c>
      <c r="D10" s="149">
        <v>0.74</v>
      </c>
      <c r="E10" s="22">
        <v>0.49</v>
      </c>
      <c r="F10" s="150">
        <f t="shared" si="1"/>
        <v>0.61499999999999999</v>
      </c>
      <c r="G10" s="23">
        <f t="shared" ref="G10:G23" si="3">F10-$F$7</f>
        <v>0.61499999999999999</v>
      </c>
      <c r="H10" s="217"/>
      <c r="I10" s="218"/>
      <c r="J10" s="219"/>
      <c r="K10" s="24" t="s">
        <v>15</v>
      </c>
      <c r="L10" s="25">
        <v>0</v>
      </c>
      <c r="M10" s="62">
        <f>K13</f>
        <v>499</v>
      </c>
      <c r="N10" s="2"/>
      <c r="P10" s="3">
        <v>0.1</v>
      </c>
      <c r="Q10" s="3">
        <v>0.1</v>
      </c>
      <c r="S10" s="133">
        <f t="shared" si="2"/>
        <v>0.59</v>
      </c>
      <c r="T10" s="133">
        <f t="shared" si="2"/>
        <v>0.71499999999999997</v>
      </c>
    </row>
    <row r="11" spans="1:20" ht="14.25" customHeight="1" thickBot="1">
      <c r="A11" s="144">
        <f ca="1">A10+TIME(,RAND()*1+(1-0),RAND()*10+5)</f>
        <v>3.1481481481481482E-3</v>
      </c>
      <c r="B11" s="140">
        <f t="shared" si="0"/>
        <v>9.891</v>
      </c>
      <c r="C11" s="20">
        <v>140</v>
      </c>
      <c r="D11" s="149">
        <v>0.9</v>
      </c>
      <c r="E11" s="22">
        <v>0.76</v>
      </c>
      <c r="F11" s="150">
        <f t="shared" si="1"/>
        <v>0.83000000000000007</v>
      </c>
      <c r="G11" s="23">
        <f t="shared" si="3"/>
        <v>0.83000000000000007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0.86</v>
      </c>
      <c r="T11" s="133">
        <f t="shared" si="2"/>
        <v>0.93</v>
      </c>
    </row>
    <row r="12" spans="1:20" ht="14.25" customHeight="1" thickTop="1">
      <c r="A12" s="144">
        <f ca="1">A11+TIME(,RAND()*1+(1-0),RAND()*10+10)</f>
        <v>4.0277777777777777E-3</v>
      </c>
      <c r="B12" s="140">
        <f t="shared" si="0"/>
        <v>12.363750000000001</v>
      </c>
      <c r="C12" s="20">
        <v>175</v>
      </c>
      <c r="D12" s="149">
        <v>1.07</v>
      </c>
      <c r="E12" s="22">
        <v>1.1399999999999999</v>
      </c>
      <c r="F12" s="150">
        <f t="shared" si="1"/>
        <v>1.105</v>
      </c>
      <c r="G12" s="23">
        <f t="shared" si="3"/>
        <v>1.105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1.24</v>
      </c>
      <c r="T12" s="133">
        <f t="shared" si="2"/>
        <v>1.2050000000000001</v>
      </c>
    </row>
    <row r="13" spans="1:20" ht="14.25" customHeight="1">
      <c r="A13" s="144">
        <f ca="1">A12+TIME(,RAND()*1+(1-0),RAND()*10+10)</f>
        <v>4.8611111111111112E-3</v>
      </c>
      <c r="B13" s="140">
        <f t="shared" si="0"/>
        <v>14.836500000000001</v>
      </c>
      <c r="C13" s="20">
        <v>210</v>
      </c>
      <c r="D13" s="149">
        <v>1.26</v>
      </c>
      <c r="E13" s="22">
        <v>1.35</v>
      </c>
      <c r="F13" s="150">
        <f t="shared" si="1"/>
        <v>1.3050000000000002</v>
      </c>
      <c r="G13" s="23">
        <f t="shared" si="3"/>
        <v>1.3050000000000002</v>
      </c>
      <c r="H13" s="217" t="s">
        <v>16</v>
      </c>
      <c r="I13" s="218"/>
      <c r="J13" s="219" t="s">
        <v>23</v>
      </c>
      <c r="K13" s="30">
        <v>499</v>
      </c>
      <c r="L13" s="25">
        <f>M10</f>
        <v>499</v>
      </c>
      <c r="M13" s="26">
        <f>L13</f>
        <v>499</v>
      </c>
      <c r="N13" s="2"/>
      <c r="P13" s="3">
        <v>0.1</v>
      </c>
      <c r="Q13" s="3">
        <v>0.1</v>
      </c>
      <c r="S13" s="133">
        <f t="shared" si="2"/>
        <v>1.4500000000000002</v>
      </c>
      <c r="T13" s="133">
        <f t="shared" si="2"/>
        <v>1.4050000000000002</v>
      </c>
    </row>
    <row r="14" spans="1:20" ht="14.25" customHeight="1" thickBot="1">
      <c r="A14" s="144">
        <f ca="1">A13+TIME(,RAND()*1+(1-0),RAND()*10+10)</f>
        <v>5.7407407407407407E-3</v>
      </c>
      <c r="B14" s="140">
        <f t="shared" si="0"/>
        <v>17.309250000000002</v>
      </c>
      <c r="C14" s="20">
        <v>245</v>
      </c>
      <c r="D14" s="149">
        <v>1.38</v>
      </c>
      <c r="E14" s="22">
        <v>1.48</v>
      </c>
      <c r="F14" s="150">
        <f t="shared" si="1"/>
        <v>1.43</v>
      </c>
      <c r="G14" s="23">
        <f t="shared" si="3"/>
        <v>1.43</v>
      </c>
      <c r="H14" s="217"/>
      <c r="I14" s="218"/>
      <c r="J14" s="219"/>
      <c r="K14" s="17">
        <f>K13/2.5</f>
        <v>199.6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1.58</v>
      </c>
      <c r="T14" s="133">
        <f t="shared" si="2"/>
        <v>1.53</v>
      </c>
    </row>
    <row r="15" spans="1:20" ht="14.25" customHeight="1" thickTop="1" thickBot="1">
      <c r="A15" s="144">
        <f ca="1">A14+TIME(,RAND()*1+(1-0),RAND()*10+10)</f>
        <v>6.6319444444444446E-3</v>
      </c>
      <c r="B15" s="140">
        <f t="shared" si="0"/>
        <v>19.782</v>
      </c>
      <c r="C15" s="20">
        <v>280</v>
      </c>
      <c r="D15" s="149">
        <v>1.57</v>
      </c>
      <c r="E15" s="22">
        <v>1.56</v>
      </c>
      <c r="F15" s="150">
        <f t="shared" si="1"/>
        <v>1.5649999999999999</v>
      </c>
      <c r="G15" s="23">
        <f t="shared" si="3"/>
        <v>1.5649999999999999</v>
      </c>
      <c r="H15" s="217" t="s">
        <v>16</v>
      </c>
      <c r="I15" s="218"/>
      <c r="J15" s="220" t="s">
        <v>27</v>
      </c>
      <c r="K15" s="2">
        <f>ROUND(K14,1)*1.3</f>
        <v>259.48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1.6600000000000001</v>
      </c>
      <c r="T15" s="133">
        <f t="shared" si="2"/>
        <v>1.665</v>
      </c>
    </row>
    <row r="16" spans="1:20" ht="14.25" customHeight="1">
      <c r="A16" s="144">
        <f ca="1">A15+TIME(,RAND()*1+(1-0),RAND()*10+10)</f>
        <v>7.5231481481481486E-3</v>
      </c>
      <c r="B16" s="140">
        <f t="shared" si="0"/>
        <v>22.254750000000001</v>
      </c>
      <c r="C16" s="20">
        <v>315</v>
      </c>
      <c r="D16" s="149">
        <v>1.66</v>
      </c>
      <c r="E16" s="22">
        <v>1.65</v>
      </c>
      <c r="F16" s="150">
        <f t="shared" si="1"/>
        <v>1.6549999999999998</v>
      </c>
      <c r="G16" s="23">
        <f t="shared" si="3"/>
        <v>1.6549999999999998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8.3333333333333332E-3</v>
      </c>
      <c r="B17" s="140">
        <f t="shared" si="0"/>
        <v>24.727500000000003</v>
      </c>
      <c r="C17" s="20">
        <v>350</v>
      </c>
      <c r="D17" s="149">
        <v>1.79</v>
      </c>
      <c r="E17" s="22">
        <v>1.8</v>
      </c>
      <c r="F17" s="150">
        <f t="shared" si="1"/>
        <v>1.7949999999999999</v>
      </c>
      <c r="G17" s="23">
        <f t="shared" si="3"/>
        <v>1.7949999999999999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9.1435185185185178E-3</v>
      </c>
      <c r="B18" s="140">
        <f t="shared" si="0"/>
        <v>27.20025</v>
      </c>
      <c r="C18" s="20">
        <v>385</v>
      </c>
      <c r="D18" s="149">
        <v>1.95</v>
      </c>
      <c r="E18" s="22">
        <v>2.0099999999999998</v>
      </c>
      <c r="F18" s="150">
        <f t="shared" si="1"/>
        <v>1.98</v>
      </c>
      <c r="G18" s="23">
        <f t="shared" si="3"/>
        <v>1.98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9.9652777777777778E-3</v>
      </c>
      <c r="B19" s="140">
        <f t="shared" si="0"/>
        <v>29.673000000000002</v>
      </c>
      <c r="C19" s="20">
        <v>420</v>
      </c>
      <c r="D19" s="149">
        <v>2.17</v>
      </c>
      <c r="E19" s="22">
        <v>2.16</v>
      </c>
      <c r="F19" s="150">
        <f t="shared" si="1"/>
        <v>2.165</v>
      </c>
      <c r="G19" s="23">
        <f t="shared" si="3"/>
        <v>2.165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1.0833333333333334E-2</v>
      </c>
      <c r="B20" s="140">
        <f t="shared" si="0"/>
        <v>32.14575</v>
      </c>
      <c r="C20" s="20">
        <v>455</v>
      </c>
      <c r="D20" s="149">
        <v>2.3199999999999998</v>
      </c>
      <c r="E20" s="22">
        <v>2.29</v>
      </c>
      <c r="F20" s="150">
        <f t="shared" si="1"/>
        <v>2.3049999999999997</v>
      </c>
      <c r="G20" s="23">
        <f t="shared" si="3"/>
        <v>2.3049999999999997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1.170138888888889E-2</v>
      </c>
      <c r="B21" s="140">
        <f t="shared" si="0"/>
        <v>34.618500000000004</v>
      </c>
      <c r="C21" s="20">
        <v>490</v>
      </c>
      <c r="D21" s="149">
        <v>2.48</v>
      </c>
      <c r="E21" s="22">
        <v>2.46</v>
      </c>
      <c r="F21" s="150">
        <f t="shared" si="1"/>
        <v>2.4699999999999998</v>
      </c>
      <c r="G21" s="23">
        <f t="shared" si="3"/>
        <v>2.4699999999999998</v>
      </c>
      <c r="H21" s="204" t="str">
        <f>"K30  = "&amp;ROUND(K13,1)&amp;"÷2.5"</f>
        <v>K30  = 499÷2.5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1.2569444444444446E-2</v>
      </c>
      <c r="B22" s="140">
        <f t="shared" si="0"/>
        <v>37.091250000000002</v>
      </c>
      <c r="C22" s="20">
        <v>525</v>
      </c>
      <c r="D22" s="149">
        <v>2.61</v>
      </c>
      <c r="E22" s="22">
        <v>2.63</v>
      </c>
      <c r="F22" s="150">
        <f t="shared" si="1"/>
        <v>2.62</v>
      </c>
      <c r="G22" s="23">
        <f t="shared" si="3"/>
        <v>2.62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1.3460648148148149E-2</v>
      </c>
      <c r="B23" s="140">
        <f t="shared" si="0"/>
        <v>39.564</v>
      </c>
      <c r="C23" s="20">
        <v>560</v>
      </c>
      <c r="D23" s="149">
        <v>2.69</v>
      </c>
      <c r="E23" s="22">
        <v>2.74</v>
      </c>
      <c r="F23" s="150">
        <f t="shared" si="1"/>
        <v>2.7149999999999999</v>
      </c>
      <c r="G23" s="23">
        <f t="shared" si="3"/>
        <v>2.7149999999999999</v>
      </c>
      <c r="H23" s="212">
        <f>K14</f>
        <v>199.6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199.6×1.3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259.48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199.6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A5A0-213D-41FD-8DCF-4D7D41C87DA5}">
  <dimension ref="A1:T66"/>
  <sheetViews>
    <sheetView view="pageBreakPreview" topLeftCell="C22" zoomScale="190" zoomScaleNormal="100" zoomScaleSheetLayoutView="190" workbookViewId="0">
      <selection activeCell="L35" sqref="L35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List!B33</f>
        <v>46174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List!A33</f>
        <v>30</v>
      </c>
      <c r="C3" s="253"/>
      <c r="D3" s="253"/>
      <c r="E3" s="253"/>
      <c r="F3" s="45" t="s">
        <v>34</v>
      </c>
      <c r="G3" s="281" t="str">
        <f>List!C33</f>
        <v>중로(집) 3-16 (No.36 ~ No.41) 노체 14단(42층)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0.4</v>
      </c>
      <c r="E8" s="22">
        <v>0.13</v>
      </c>
      <c r="F8" s="150">
        <f>IFERROR((D8+E8)/2," ")</f>
        <v>0.26500000000000001</v>
      </c>
      <c r="G8" s="23">
        <f>F8-F7</f>
        <v>0.26500000000000001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0.23</v>
      </c>
      <c r="T8" s="133">
        <f>F8+Q8</f>
        <v>0.36499999999999999</v>
      </c>
    </row>
    <row r="9" spans="1:20" ht="14.25" customHeight="1" thickTop="1">
      <c r="A9" s="144">
        <f ca="1">A8+TIME(,RAND()*1+(1-0),RAND()*10+10)</f>
        <v>1.712962962962963E-3</v>
      </c>
      <c r="B9" s="140">
        <f t="shared" ref="B9:B23" si="0">C9*0.07065</f>
        <v>4.9455</v>
      </c>
      <c r="C9" s="20">
        <v>70</v>
      </c>
      <c r="D9" s="149">
        <v>0.53</v>
      </c>
      <c r="E9" s="22">
        <v>0.44</v>
      </c>
      <c r="F9" s="150">
        <f t="shared" ref="F9:F23" si="1">IFERROR((D9+E9)/2," ")</f>
        <v>0.48499999999999999</v>
      </c>
      <c r="G9" s="23">
        <f>F9-$F$7</f>
        <v>0.48499999999999999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0.54</v>
      </c>
      <c r="T9" s="133">
        <f t="shared" si="2"/>
        <v>0.58499999999999996</v>
      </c>
    </row>
    <row r="10" spans="1:20" ht="14.25" customHeight="1">
      <c r="A10" s="144">
        <f ca="1">A9+TIME(,RAND()*1+(1-0),RAND()*10+5)</f>
        <v>2.5578703703703705E-3</v>
      </c>
      <c r="B10" s="140">
        <f t="shared" si="0"/>
        <v>7.4182500000000005</v>
      </c>
      <c r="C10" s="20">
        <v>105</v>
      </c>
      <c r="D10" s="149">
        <v>0.71</v>
      </c>
      <c r="E10" s="22">
        <v>0.75</v>
      </c>
      <c r="F10" s="150">
        <f t="shared" si="1"/>
        <v>0.73</v>
      </c>
      <c r="G10" s="23">
        <f t="shared" ref="G10:G23" si="3">F10-$F$7</f>
        <v>0.73</v>
      </c>
      <c r="H10" s="217"/>
      <c r="I10" s="218"/>
      <c r="J10" s="219"/>
      <c r="K10" s="24" t="s">
        <v>15</v>
      </c>
      <c r="L10" s="25">
        <v>0</v>
      </c>
      <c r="M10" s="62">
        <f>K13</f>
        <v>501</v>
      </c>
      <c r="N10" s="2"/>
      <c r="P10" s="3">
        <v>0.1</v>
      </c>
      <c r="Q10" s="3">
        <v>0.1</v>
      </c>
      <c r="S10" s="133">
        <f t="shared" si="2"/>
        <v>0.85</v>
      </c>
      <c r="T10" s="133">
        <f t="shared" si="2"/>
        <v>0.83</v>
      </c>
    </row>
    <row r="11" spans="1:20" ht="14.25" customHeight="1" thickBot="1">
      <c r="A11" s="144">
        <f ca="1">A10+TIME(,RAND()*1+(1-0),RAND()*10+5)</f>
        <v>3.37962962962963E-3</v>
      </c>
      <c r="B11" s="140">
        <f t="shared" si="0"/>
        <v>9.891</v>
      </c>
      <c r="C11" s="20">
        <v>140</v>
      </c>
      <c r="D11" s="149">
        <v>1.1100000000000001</v>
      </c>
      <c r="E11" s="22">
        <v>0.89</v>
      </c>
      <c r="F11" s="150">
        <f t="shared" si="1"/>
        <v>1</v>
      </c>
      <c r="G11" s="23">
        <f t="shared" si="3"/>
        <v>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0.99</v>
      </c>
      <c r="T11" s="133">
        <f t="shared" si="2"/>
        <v>1.1000000000000001</v>
      </c>
    </row>
    <row r="12" spans="1:20" ht="14.25" customHeight="1" thickTop="1">
      <c r="A12" s="144">
        <f ca="1">A11+TIME(,RAND()*1+(1-0),RAND()*10+10)</f>
        <v>4.293981481481482E-3</v>
      </c>
      <c r="B12" s="140">
        <f t="shared" si="0"/>
        <v>12.363750000000001</v>
      </c>
      <c r="C12" s="20">
        <v>175</v>
      </c>
      <c r="D12" s="149">
        <v>1.25</v>
      </c>
      <c r="E12" s="22">
        <v>1.1599999999999999</v>
      </c>
      <c r="F12" s="150">
        <f t="shared" si="1"/>
        <v>1.2050000000000001</v>
      </c>
      <c r="G12" s="23">
        <f t="shared" si="3"/>
        <v>1.2050000000000001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1.26</v>
      </c>
      <c r="T12" s="133">
        <f t="shared" si="2"/>
        <v>1.3050000000000002</v>
      </c>
    </row>
    <row r="13" spans="1:20" ht="14.25" customHeight="1">
      <c r="A13" s="144">
        <f ca="1">A12+TIME(,RAND()*1+(1-0),RAND()*10+10)</f>
        <v>5.1851851851851859E-3</v>
      </c>
      <c r="B13" s="140">
        <f t="shared" si="0"/>
        <v>14.836500000000001</v>
      </c>
      <c r="C13" s="20">
        <v>210</v>
      </c>
      <c r="D13" s="149">
        <v>1.44</v>
      </c>
      <c r="E13" s="22">
        <v>1.31</v>
      </c>
      <c r="F13" s="150">
        <f t="shared" si="1"/>
        <v>1.375</v>
      </c>
      <c r="G13" s="23">
        <f t="shared" si="3"/>
        <v>1.375</v>
      </c>
      <c r="H13" s="217" t="s">
        <v>16</v>
      </c>
      <c r="I13" s="218"/>
      <c r="J13" s="219" t="s">
        <v>23</v>
      </c>
      <c r="K13" s="30">
        <v>501</v>
      </c>
      <c r="L13" s="25">
        <f>M10</f>
        <v>501</v>
      </c>
      <c r="M13" s="26">
        <f>L13</f>
        <v>501</v>
      </c>
      <c r="N13" s="2"/>
      <c r="P13" s="3">
        <v>0.1</v>
      </c>
      <c r="Q13" s="3">
        <v>0.1</v>
      </c>
      <c r="S13" s="133">
        <f t="shared" si="2"/>
        <v>1.4100000000000001</v>
      </c>
      <c r="T13" s="133">
        <f t="shared" si="2"/>
        <v>1.4750000000000001</v>
      </c>
    </row>
    <row r="14" spans="1:20" ht="14.25" customHeight="1" thickBot="1">
      <c r="A14" s="144">
        <f ca="1">A13+TIME(,RAND()*1+(1-0),RAND()*10+10)</f>
        <v>6.0185185185185194E-3</v>
      </c>
      <c r="B14" s="140">
        <f t="shared" si="0"/>
        <v>17.309250000000002</v>
      </c>
      <c r="C14" s="20">
        <v>245</v>
      </c>
      <c r="D14" s="149">
        <v>1.53</v>
      </c>
      <c r="E14" s="22">
        <v>1.51</v>
      </c>
      <c r="F14" s="150">
        <f t="shared" si="1"/>
        <v>1.52</v>
      </c>
      <c r="G14" s="23">
        <f t="shared" si="3"/>
        <v>1.52</v>
      </c>
      <c r="H14" s="217"/>
      <c r="I14" s="218"/>
      <c r="J14" s="219"/>
      <c r="K14" s="17">
        <f>K13/2.5</f>
        <v>200.4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1.61</v>
      </c>
      <c r="T14" s="133">
        <f t="shared" si="2"/>
        <v>1.62</v>
      </c>
    </row>
    <row r="15" spans="1:20" ht="14.25" customHeight="1" thickTop="1" thickBot="1">
      <c r="A15" s="144">
        <f ca="1">A14+TIME(,RAND()*1+(1-0),RAND()*10+10)</f>
        <v>6.9097222222222233E-3</v>
      </c>
      <c r="B15" s="140">
        <f t="shared" si="0"/>
        <v>19.782</v>
      </c>
      <c r="C15" s="20">
        <v>280</v>
      </c>
      <c r="D15" s="149">
        <v>1.68</v>
      </c>
      <c r="E15" s="22">
        <v>1.65</v>
      </c>
      <c r="F15" s="150">
        <f t="shared" si="1"/>
        <v>1.665</v>
      </c>
      <c r="G15" s="23">
        <f t="shared" si="3"/>
        <v>1.665</v>
      </c>
      <c r="H15" s="217" t="s">
        <v>16</v>
      </c>
      <c r="I15" s="218"/>
      <c r="J15" s="220" t="s">
        <v>27</v>
      </c>
      <c r="K15" s="2">
        <f>ROUND(K14,1)*1.3</f>
        <v>260.52000000000004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1.75</v>
      </c>
      <c r="T15" s="133">
        <f t="shared" si="2"/>
        <v>1.7650000000000001</v>
      </c>
    </row>
    <row r="16" spans="1:20" ht="14.25" customHeight="1">
      <c r="A16" s="144">
        <f ca="1">A15+TIME(,RAND()*1+(1-0),RAND()*10+10)</f>
        <v>7.7199074074074088E-3</v>
      </c>
      <c r="B16" s="140">
        <f t="shared" si="0"/>
        <v>22.254750000000001</v>
      </c>
      <c r="C16" s="20">
        <v>315</v>
      </c>
      <c r="D16" s="149">
        <v>1.84</v>
      </c>
      <c r="E16" s="22">
        <v>1.7</v>
      </c>
      <c r="F16" s="150">
        <f t="shared" si="1"/>
        <v>1.77</v>
      </c>
      <c r="G16" s="23">
        <f t="shared" si="3"/>
        <v>1.77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8.5300925925925943E-3</v>
      </c>
      <c r="B17" s="140">
        <f t="shared" si="0"/>
        <v>24.727500000000003</v>
      </c>
      <c r="C17" s="20">
        <v>350</v>
      </c>
      <c r="D17" s="149">
        <v>1.99</v>
      </c>
      <c r="E17" s="22">
        <v>1.79</v>
      </c>
      <c r="F17" s="150">
        <f t="shared" si="1"/>
        <v>1.8900000000000001</v>
      </c>
      <c r="G17" s="23">
        <f t="shared" si="3"/>
        <v>1.8900000000000001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9.4328703703703727E-3</v>
      </c>
      <c r="B18" s="140">
        <f t="shared" si="0"/>
        <v>27.20025</v>
      </c>
      <c r="C18" s="20">
        <v>385</v>
      </c>
      <c r="D18" s="149">
        <v>2.1800000000000002</v>
      </c>
      <c r="E18" s="22">
        <v>1.82</v>
      </c>
      <c r="F18" s="150">
        <f t="shared" si="1"/>
        <v>2</v>
      </c>
      <c r="G18" s="23">
        <f t="shared" si="3"/>
        <v>2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1.027777777777778E-2</v>
      </c>
      <c r="B19" s="140">
        <f t="shared" si="0"/>
        <v>29.673000000000002</v>
      </c>
      <c r="C19" s="20">
        <v>420</v>
      </c>
      <c r="D19" s="149">
        <v>2.2200000000000002</v>
      </c>
      <c r="E19" s="22">
        <v>2.0099999999999998</v>
      </c>
      <c r="F19" s="150">
        <f t="shared" si="1"/>
        <v>2.1150000000000002</v>
      </c>
      <c r="G19" s="23">
        <f t="shared" si="3"/>
        <v>2.1150000000000002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1.1168981481481483E-2</v>
      </c>
      <c r="B20" s="140">
        <f t="shared" si="0"/>
        <v>32.14575</v>
      </c>
      <c r="C20" s="20">
        <v>455</v>
      </c>
      <c r="D20" s="149">
        <v>2.3199999999999998</v>
      </c>
      <c r="E20" s="22">
        <v>2.23</v>
      </c>
      <c r="F20" s="150">
        <f t="shared" si="1"/>
        <v>2.2749999999999999</v>
      </c>
      <c r="G20" s="23">
        <f t="shared" si="3"/>
        <v>2.2749999999999999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1.1979166666666667E-2</v>
      </c>
      <c r="B21" s="140">
        <f t="shared" si="0"/>
        <v>34.618500000000004</v>
      </c>
      <c r="C21" s="20">
        <v>490</v>
      </c>
      <c r="D21" s="149">
        <v>2.41</v>
      </c>
      <c r="E21" s="22">
        <v>2.56</v>
      </c>
      <c r="F21" s="150">
        <f t="shared" si="1"/>
        <v>2.4850000000000003</v>
      </c>
      <c r="G21" s="23">
        <f t="shared" si="3"/>
        <v>2.4850000000000003</v>
      </c>
      <c r="H21" s="204" t="str">
        <f>"K30  = "&amp;ROUND(K13,1)&amp;"÷2.5"</f>
        <v>K30  = 501÷2.5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1.2800925925925927E-2</v>
      </c>
      <c r="B22" s="140">
        <f t="shared" si="0"/>
        <v>37.091250000000002</v>
      </c>
      <c r="C22" s="20">
        <v>525</v>
      </c>
      <c r="D22" s="149">
        <v>2.62</v>
      </c>
      <c r="E22" s="22">
        <v>2.64</v>
      </c>
      <c r="F22" s="150">
        <f t="shared" si="1"/>
        <v>2.63</v>
      </c>
      <c r="G22" s="23">
        <f t="shared" si="3"/>
        <v>2.63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1.365740740740741E-2</v>
      </c>
      <c r="B23" s="140">
        <f t="shared" si="0"/>
        <v>39.564</v>
      </c>
      <c r="C23" s="20">
        <v>560</v>
      </c>
      <c r="D23" s="149">
        <v>2.73</v>
      </c>
      <c r="E23" s="22">
        <v>2.75</v>
      </c>
      <c r="F23" s="150">
        <f t="shared" si="1"/>
        <v>2.74</v>
      </c>
      <c r="G23" s="23">
        <f t="shared" si="3"/>
        <v>2.74</v>
      </c>
      <c r="H23" s="212">
        <f>K14</f>
        <v>200.4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200.4×1.3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260.52000000000004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200.4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2E8E-2B43-4DB7-A7D4-E4A65BBCB992}">
  <dimension ref="A1:T66"/>
  <sheetViews>
    <sheetView view="pageBreakPreview" topLeftCell="A16" zoomScale="145" zoomScaleNormal="100" zoomScaleSheetLayoutView="145" workbookViewId="0">
      <selection activeCell="L35" sqref="L35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List!B32</f>
        <v>46174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List!A32</f>
        <v>29</v>
      </c>
      <c r="C3" s="253"/>
      <c r="D3" s="253"/>
      <c r="E3" s="253"/>
      <c r="F3" s="45" t="s">
        <v>34</v>
      </c>
      <c r="G3" s="281" t="str">
        <f>List!C32</f>
        <v>중로(집) 3-12 (No.17 ~ No.20) 노체 6단(18층)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0.33</v>
      </c>
      <c r="E8" s="22">
        <v>0.12</v>
      </c>
      <c r="F8" s="150">
        <f>IFERROR((D8+E8)/2," ")</f>
        <v>0.22500000000000001</v>
      </c>
      <c r="G8" s="23">
        <f>F8-F7</f>
        <v>0.22500000000000001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0.22</v>
      </c>
      <c r="T8" s="133">
        <f>F8+Q8</f>
        <v>0.32500000000000001</v>
      </c>
    </row>
    <row r="9" spans="1:20" ht="14.25" customHeight="1" thickTop="1">
      <c r="A9" s="144">
        <f ca="1">A8+TIME(,RAND()*1+(1-0),RAND()*10+10)</f>
        <v>1.5625000000000001E-3</v>
      </c>
      <c r="B9" s="140">
        <f t="shared" ref="B9:B23" si="0">C9*0.07065</f>
        <v>4.9455</v>
      </c>
      <c r="C9" s="20">
        <v>70</v>
      </c>
      <c r="D9" s="149">
        <v>0.73</v>
      </c>
      <c r="E9" s="22">
        <v>0.17</v>
      </c>
      <c r="F9" s="150">
        <f t="shared" ref="F9:F23" si="1">IFERROR((D9+E9)/2," ")</f>
        <v>0.45</v>
      </c>
      <c r="G9" s="23">
        <f>F9-$F$7</f>
        <v>0.45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0.27</v>
      </c>
      <c r="T9" s="133">
        <f t="shared" si="2"/>
        <v>0.55000000000000004</v>
      </c>
    </row>
    <row r="10" spans="1:20" ht="14.25" customHeight="1">
      <c r="A10" s="144">
        <f ca="1">A9+TIME(,RAND()*1+(1-0),RAND()*10+5)</f>
        <v>2.3263888888888891E-3</v>
      </c>
      <c r="B10" s="140">
        <f t="shared" si="0"/>
        <v>7.4182500000000005</v>
      </c>
      <c r="C10" s="20">
        <v>105</v>
      </c>
      <c r="D10" s="149">
        <v>1.1399999999999999</v>
      </c>
      <c r="E10" s="22">
        <v>0.4</v>
      </c>
      <c r="F10" s="150">
        <f t="shared" si="1"/>
        <v>0.77</v>
      </c>
      <c r="G10" s="23">
        <f t="shared" ref="G10:G23" si="3">F10-$F$7</f>
        <v>0.77</v>
      </c>
      <c r="H10" s="217"/>
      <c r="I10" s="218"/>
      <c r="J10" s="219"/>
      <c r="K10" s="24" t="s">
        <v>15</v>
      </c>
      <c r="L10" s="25">
        <v>0</v>
      </c>
      <c r="M10" s="62">
        <f>K13</f>
        <v>508</v>
      </c>
      <c r="N10" s="2"/>
      <c r="P10" s="3">
        <v>0.1</v>
      </c>
      <c r="Q10" s="3">
        <v>0.1</v>
      </c>
      <c r="S10" s="133">
        <f t="shared" si="2"/>
        <v>0.5</v>
      </c>
      <c r="T10" s="133">
        <f t="shared" si="2"/>
        <v>0.87</v>
      </c>
    </row>
    <row r="11" spans="1:20" ht="14.25" customHeight="1" thickBot="1">
      <c r="A11" s="144">
        <f ca="1">A10+TIME(,RAND()*1+(1-0),RAND()*10+5)</f>
        <v>3.1134259259259262E-3</v>
      </c>
      <c r="B11" s="140">
        <f t="shared" si="0"/>
        <v>9.891</v>
      </c>
      <c r="C11" s="20">
        <v>140</v>
      </c>
      <c r="D11" s="149">
        <v>1.35</v>
      </c>
      <c r="E11" s="22">
        <v>0.77</v>
      </c>
      <c r="F11" s="150">
        <f t="shared" si="1"/>
        <v>1.06</v>
      </c>
      <c r="G11" s="23">
        <f t="shared" si="3"/>
        <v>1.06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0.87</v>
      </c>
      <c r="T11" s="133">
        <f t="shared" si="2"/>
        <v>1.1600000000000001</v>
      </c>
    </row>
    <row r="12" spans="1:20" ht="14.25" customHeight="1" thickTop="1">
      <c r="A12" s="144">
        <f ca="1">A11+TIME(,RAND()*1+(1-0),RAND()*10+10)</f>
        <v>3.9930555555555561E-3</v>
      </c>
      <c r="B12" s="140">
        <f t="shared" si="0"/>
        <v>12.363750000000001</v>
      </c>
      <c r="C12" s="20">
        <v>175</v>
      </c>
      <c r="D12" s="149">
        <v>1.57</v>
      </c>
      <c r="E12" s="22">
        <v>0.9</v>
      </c>
      <c r="F12" s="150">
        <f t="shared" si="1"/>
        <v>1.2350000000000001</v>
      </c>
      <c r="G12" s="23">
        <f t="shared" si="3"/>
        <v>1.2350000000000001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</v>
      </c>
      <c r="T12" s="133">
        <f t="shared" si="2"/>
        <v>1.3350000000000002</v>
      </c>
    </row>
    <row r="13" spans="1:20" ht="14.25" customHeight="1">
      <c r="A13" s="144">
        <f ca="1">A12+TIME(,RAND()*1+(1-0),RAND()*10+10)</f>
        <v>4.8958333333333336E-3</v>
      </c>
      <c r="B13" s="140">
        <f t="shared" si="0"/>
        <v>14.836500000000001</v>
      </c>
      <c r="C13" s="20">
        <v>210</v>
      </c>
      <c r="D13" s="149">
        <v>1.65</v>
      </c>
      <c r="E13" s="22">
        <v>1.1100000000000001</v>
      </c>
      <c r="F13" s="150">
        <f t="shared" si="1"/>
        <v>1.38</v>
      </c>
      <c r="G13" s="23">
        <f t="shared" si="3"/>
        <v>1.38</v>
      </c>
      <c r="H13" s="217" t="s">
        <v>16</v>
      </c>
      <c r="I13" s="218"/>
      <c r="J13" s="219" t="s">
        <v>23</v>
      </c>
      <c r="K13" s="30">
        <v>508</v>
      </c>
      <c r="L13" s="25">
        <f>M10</f>
        <v>508</v>
      </c>
      <c r="M13" s="26">
        <f>L13</f>
        <v>508</v>
      </c>
      <c r="N13" s="2"/>
      <c r="P13" s="3">
        <v>0.1</v>
      </c>
      <c r="Q13" s="3">
        <v>0.1</v>
      </c>
      <c r="S13" s="133">
        <f t="shared" si="2"/>
        <v>1.2100000000000002</v>
      </c>
      <c r="T13" s="133">
        <f t="shared" si="2"/>
        <v>1.48</v>
      </c>
    </row>
    <row r="14" spans="1:20" ht="14.25" customHeight="1" thickBot="1">
      <c r="A14" s="144">
        <f ca="1">A13+TIME(,RAND()*1+(1-0),RAND()*10+10)</f>
        <v>5.7291666666666671E-3</v>
      </c>
      <c r="B14" s="140">
        <f t="shared" si="0"/>
        <v>17.309250000000002</v>
      </c>
      <c r="C14" s="20">
        <v>245</v>
      </c>
      <c r="D14" s="149">
        <v>1.8</v>
      </c>
      <c r="E14" s="22">
        <v>1.24</v>
      </c>
      <c r="F14" s="150">
        <f t="shared" si="1"/>
        <v>1.52</v>
      </c>
      <c r="G14" s="23">
        <f t="shared" si="3"/>
        <v>1.52</v>
      </c>
      <c r="H14" s="217"/>
      <c r="I14" s="218"/>
      <c r="J14" s="219"/>
      <c r="K14" s="17">
        <f>K13/2.5</f>
        <v>203.2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1.34</v>
      </c>
      <c r="T14" s="133">
        <f t="shared" si="2"/>
        <v>1.62</v>
      </c>
    </row>
    <row r="15" spans="1:20" ht="14.25" customHeight="1" thickTop="1" thickBot="1">
      <c r="A15" s="144">
        <f ca="1">A14+TIME(,RAND()*1+(1-0),RAND()*10+10)</f>
        <v>6.6435185185185191E-3</v>
      </c>
      <c r="B15" s="140">
        <f t="shared" si="0"/>
        <v>19.782</v>
      </c>
      <c r="C15" s="20">
        <v>280</v>
      </c>
      <c r="D15" s="149">
        <v>1.94</v>
      </c>
      <c r="E15" s="22">
        <v>1.32</v>
      </c>
      <c r="F15" s="150">
        <f t="shared" si="1"/>
        <v>1.63</v>
      </c>
      <c r="G15" s="23">
        <f t="shared" si="3"/>
        <v>1.63</v>
      </c>
      <c r="H15" s="217" t="s">
        <v>16</v>
      </c>
      <c r="I15" s="218"/>
      <c r="J15" s="220" t="s">
        <v>27</v>
      </c>
      <c r="K15" s="2">
        <f>ROUND(K14,1)*1.3</f>
        <v>264.15999999999997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1.4200000000000002</v>
      </c>
      <c r="T15" s="133">
        <f t="shared" si="2"/>
        <v>1.73</v>
      </c>
    </row>
    <row r="16" spans="1:20" ht="14.25" customHeight="1">
      <c r="A16" s="144">
        <f ca="1">A15+TIME(,RAND()*1+(1-0),RAND()*10+10)</f>
        <v>7.5231481481481486E-3</v>
      </c>
      <c r="B16" s="140">
        <f t="shared" si="0"/>
        <v>22.254750000000001</v>
      </c>
      <c r="C16" s="20">
        <v>315</v>
      </c>
      <c r="D16" s="149">
        <v>2.1</v>
      </c>
      <c r="E16" s="22">
        <v>1.49</v>
      </c>
      <c r="F16" s="150">
        <f t="shared" si="1"/>
        <v>1.7949999999999999</v>
      </c>
      <c r="G16" s="23">
        <f t="shared" si="3"/>
        <v>1.7949999999999999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8.3796296296296292E-3</v>
      </c>
      <c r="B17" s="140">
        <f t="shared" si="0"/>
        <v>24.727500000000003</v>
      </c>
      <c r="C17" s="20">
        <v>350</v>
      </c>
      <c r="D17" s="149">
        <v>2.23</v>
      </c>
      <c r="E17" s="22">
        <v>1.55</v>
      </c>
      <c r="F17" s="150">
        <f t="shared" si="1"/>
        <v>1.8900000000000001</v>
      </c>
      <c r="G17" s="23">
        <f t="shared" si="3"/>
        <v>1.8900000000000001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9.2476851851851852E-3</v>
      </c>
      <c r="B18" s="140">
        <f t="shared" si="0"/>
        <v>27.20025</v>
      </c>
      <c r="C18" s="20">
        <v>385</v>
      </c>
      <c r="D18" s="149">
        <v>2.31</v>
      </c>
      <c r="E18" s="22">
        <v>1.71</v>
      </c>
      <c r="F18" s="150">
        <f t="shared" si="1"/>
        <v>2.0099999999999998</v>
      </c>
      <c r="G18" s="23">
        <f t="shared" si="3"/>
        <v>2.0099999999999998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1.0104166666666668E-2</v>
      </c>
      <c r="B19" s="140">
        <f t="shared" si="0"/>
        <v>29.673000000000002</v>
      </c>
      <c r="C19" s="20">
        <v>420</v>
      </c>
      <c r="D19" s="149">
        <v>2.44</v>
      </c>
      <c r="E19" s="22">
        <v>1.98</v>
      </c>
      <c r="F19" s="150">
        <f t="shared" si="1"/>
        <v>2.21</v>
      </c>
      <c r="G19" s="23">
        <f t="shared" si="3"/>
        <v>2.21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1.101851851851852E-2</v>
      </c>
      <c r="B20" s="140">
        <f t="shared" si="0"/>
        <v>32.14575</v>
      </c>
      <c r="C20" s="20">
        <v>455</v>
      </c>
      <c r="D20" s="149">
        <v>2.48</v>
      </c>
      <c r="E20" s="22">
        <v>2.21</v>
      </c>
      <c r="F20" s="150">
        <f t="shared" si="1"/>
        <v>2.3449999999999998</v>
      </c>
      <c r="G20" s="23">
        <f t="shared" si="3"/>
        <v>2.3449999999999998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1.1886574074074075E-2</v>
      </c>
      <c r="B21" s="140">
        <f t="shared" si="0"/>
        <v>34.618500000000004</v>
      </c>
      <c r="C21" s="20">
        <v>490</v>
      </c>
      <c r="D21" s="149">
        <v>2.5</v>
      </c>
      <c r="E21" s="22">
        <v>2.4900000000000002</v>
      </c>
      <c r="F21" s="150">
        <f t="shared" si="1"/>
        <v>2.4950000000000001</v>
      </c>
      <c r="G21" s="23">
        <f t="shared" si="3"/>
        <v>2.4950000000000001</v>
      </c>
      <c r="H21" s="204" t="str">
        <f>"K30  = "&amp;ROUND(K13,1)&amp;"÷2.5"</f>
        <v>K30  = 508÷2.5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1.269675925925926E-2</v>
      </c>
      <c r="B22" s="140">
        <f t="shared" si="0"/>
        <v>37.091250000000002</v>
      </c>
      <c r="C22" s="20">
        <v>525</v>
      </c>
      <c r="D22" s="149">
        <v>2.5499999999999998</v>
      </c>
      <c r="E22" s="22">
        <v>2.57</v>
      </c>
      <c r="F22" s="150">
        <f t="shared" si="1"/>
        <v>2.5599999999999996</v>
      </c>
      <c r="G22" s="23">
        <f t="shared" si="3"/>
        <v>2.5599999999999996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1.3599537037037038E-2</v>
      </c>
      <c r="B23" s="140">
        <f t="shared" si="0"/>
        <v>39.564</v>
      </c>
      <c r="C23" s="20">
        <v>560</v>
      </c>
      <c r="D23" s="149">
        <v>2.6</v>
      </c>
      <c r="E23" s="22">
        <v>2.63</v>
      </c>
      <c r="F23" s="150">
        <f t="shared" si="1"/>
        <v>2.6150000000000002</v>
      </c>
      <c r="G23" s="23">
        <f t="shared" si="3"/>
        <v>2.6150000000000002</v>
      </c>
      <c r="H23" s="212">
        <f>K14</f>
        <v>203.2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203.2×1.3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264.15999999999997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203.2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3698-FC69-460A-ABCE-A1EEFBD8F7F2}">
  <dimension ref="A1:T66"/>
  <sheetViews>
    <sheetView view="pageBreakPreview" topLeftCell="C10" zoomScale="130" zoomScaleNormal="100" zoomScaleSheetLayoutView="130" workbookViewId="0">
      <selection activeCell="L35" sqref="L35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List!B31</f>
        <v>46174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List!A31</f>
        <v>28</v>
      </c>
      <c r="C3" s="253"/>
      <c r="D3" s="253"/>
      <c r="E3" s="253"/>
      <c r="F3" s="45" t="s">
        <v>34</v>
      </c>
      <c r="G3" s="281" t="str">
        <f>List!C31</f>
        <v>중로(집) 3-12 (No.17 ~ No.20) 노체 5단(15층)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7.407407407407407E-4</v>
      </c>
      <c r="B8" s="140">
        <f>C8*0.07065</f>
        <v>2.47275</v>
      </c>
      <c r="C8" s="20">
        <v>35</v>
      </c>
      <c r="D8" s="149">
        <v>0.12</v>
      </c>
      <c r="E8" s="22">
        <v>0.19</v>
      </c>
      <c r="F8" s="150">
        <f>IFERROR((D8+E8)/2," ")</f>
        <v>0.155</v>
      </c>
      <c r="G8" s="23">
        <f>F8-F7</f>
        <v>0.155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0.29000000000000004</v>
      </c>
      <c r="T8" s="133">
        <f>F8+Q8</f>
        <v>0.255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3" si="0">C9*0.07065</f>
        <v>4.9455</v>
      </c>
      <c r="C9" s="20">
        <v>70</v>
      </c>
      <c r="D9" s="149">
        <v>0.35</v>
      </c>
      <c r="E9" s="22">
        <v>0.43</v>
      </c>
      <c r="F9" s="150">
        <f t="shared" ref="F9:F23" si="1">IFERROR((D9+E9)/2," ")</f>
        <v>0.39</v>
      </c>
      <c r="G9" s="23">
        <f>F9-$F$7</f>
        <v>0.39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0.53</v>
      </c>
      <c r="T9" s="133">
        <f t="shared" si="2"/>
        <v>0.49</v>
      </c>
    </row>
    <row r="10" spans="1:20" ht="14.25" customHeight="1">
      <c r="A10" s="144">
        <f ca="1">A9+TIME(,RAND()*1+(1-0),RAND()*10+5)</f>
        <v>2.3495370370370371E-3</v>
      </c>
      <c r="B10" s="140">
        <f t="shared" si="0"/>
        <v>7.4182500000000005</v>
      </c>
      <c r="C10" s="20">
        <v>105</v>
      </c>
      <c r="D10" s="149">
        <v>0.6</v>
      </c>
      <c r="E10" s="22">
        <v>0.69</v>
      </c>
      <c r="F10" s="150">
        <f t="shared" si="1"/>
        <v>0.64500000000000002</v>
      </c>
      <c r="G10" s="23">
        <f t="shared" ref="G10:G23" si="3">F10-$F$7</f>
        <v>0.64500000000000002</v>
      </c>
      <c r="H10" s="217"/>
      <c r="I10" s="218"/>
      <c r="J10" s="219"/>
      <c r="K10" s="24" t="s">
        <v>15</v>
      </c>
      <c r="L10" s="25">
        <v>0</v>
      </c>
      <c r="M10" s="62">
        <f>K13</f>
        <v>496</v>
      </c>
      <c r="N10" s="2"/>
      <c r="P10" s="3">
        <v>0.1</v>
      </c>
      <c r="Q10" s="3">
        <v>0.1</v>
      </c>
      <c r="S10" s="133">
        <f t="shared" si="2"/>
        <v>0.78999999999999992</v>
      </c>
      <c r="T10" s="133">
        <f t="shared" si="2"/>
        <v>0.745</v>
      </c>
    </row>
    <row r="11" spans="1:20" ht="14.25" customHeight="1" thickBot="1">
      <c r="A11" s="144">
        <f ca="1">A10+TIME(,RAND()*1+(1-0),RAND()*10+5)</f>
        <v>3.1481481481481482E-3</v>
      </c>
      <c r="B11" s="140">
        <f t="shared" si="0"/>
        <v>9.891</v>
      </c>
      <c r="C11" s="20">
        <v>140</v>
      </c>
      <c r="D11" s="149">
        <v>0.84</v>
      </c>
      <c r="E11" s="22">
        <v>0.81</v>
      </c>
      <c r="F11" s="150">
        <f t="shared" si="1"/>
        <v>0.82499999999999996</v>
      </c>
      <c r="G11" s="23">
        <f t="shared" si="3"/>
        <v>0.82499999999999996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0.91</v>
      </c>
      <c r="T11" s="133">
        <f t="shared" si="2"/>
        <v>0.92499999999999993</v>
      </c>
    </row>
    <row r="12" spans="1:20" ht="14.25" customHeight="1" thickTop="1">
      <c r="A12" s="144">
        <f ca="1">A11+TIME(,RAND()*1+(1-0),RAND()*10+10)</f>
        <v>4.0509259259259257E-3</v>
      </c>
      <c r="B12" s="140">
        <f t="shared" si="0"/>
        <v>12.363750000000001</v>
      </c>
      <c r="C12" s="20">
        <v>175</v>
      </c>
      <c r="D12" s="149">
        <v>1.1299999999999999</v>
      </c>
      <c r="E12" s="22">
        <v>1.24</v>
      </c>
      <c r="F12" s="150">
        <f t="shared" si="1"/>
        <v>1.1850000000000001</v>
      </c>
      <c r="G12" s="23">
        <f t="shared" si="3"/>
        <v>1.1850000000000001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1.34</v>
      </c>
      <c r="T12" s="133">
        <f t="shared" si="2"/>
        <v>1.2850000000000001</v>
      </c>
    </row>
    <row r="13" spans="1:20" ht="14.25" customHeight="1">
      <c r="A13" s="144">
        <f ca="1">A12+TIME(,RAND()*1+(1-0),RAND()*10+10)</f>
        <v>4.8611111111111112E-3</v>
      </c>
      <c r="B13" s="140">
        <f t="shared" si="0"/>
        <v>14.836500000000001</v>
      </c>
      <c r="C13" s="20">
        <v>210</v>
      </c>
      <c r="D13" s="149">
        <v>1.33</v>
      </c>
      <c r="E13" s="22">
        <v>1.49</v>
      </c>
      <c r="F13" s="150">
        <f t="shared" si="1"/>
        <v>1.4100000000000001</v>
      </c>
      <c r="G13" s="23">
        <f t="shared" si="3"/>
        <v>1.4100000000000001</v>
      </c>
      <c r="H13" s="217" t="s">
        <v>16</v>
      </c>
      <c r="I13" s="218"/>
      <c r="J13" s="219" t="s">
        <v>23</v>
      </c>
      <c r="K13" s="30">
        <v>496</v>
      </c>
      <c r="L13" s="25">
        <f>M10</f>
        <v>496</v>
      </c>
      <c r="M13" s="26">
        <f>L13</f>
        <v>496</v>
      </c>
      <c r="N13" s="2"/>
      <c r="P13" s="3">
        <v>0.1</v>
      </c>
      <c r="Q13" s="3">
        <v>0.1</v>
      </c>
      <c r="S13" s="133">
        <f t="shared" si="2"/>
        <v>1.59</v>
      </c>
      <c r="T13" s="133">
        <f t="shared" si="2"/>
        <v>1.5100000000000002</v>
      </c>
    </row>
    <row r="14" spans="1:20" ht="14.25" customHeight="1" thickBot="1">
      <c r="A14" s="144">
        <f ca="1">A13+TIME(,RAND()*1+(1-0),RAND()*10+10)</f>
        <v>5.7060185185185183E-3</v>
      </c>
      <c r="B14" s="140">
        <f t="shared" si="0"/>
        <v>17.309250000000002</v>
      </c>
      <c r="C14" s="20">
        <v>245</v>
      </c>
      <c r="D14" s="149">
        <v>1.54</v>
      </c>
      <c r="E14" s="22">
        <v>1.54</v>
      </c>
      <c r="F14" s="150">
        <f t="shared" si="1"/>
        <v>1.54</v>
      </c>
      <c r="G14" s="23">
        <f t="shared" si="3"/>
        <v>1.54</v>
      </c>
      <c r="H14" s="217"/>
      <c r="I14" s="218"/>
      <c r="J14" s="219"/>
      <c r="K14" s="17">
        <f>K13/2.5</f>
        <v>198.4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1.6400000000000001</v>
      </c>
      <c r="T14" s="133">
        <f t="shared" si="2"/>
        <v>1.6400000000000001</v>
      </c>
    </row>
    <row r="15" spans="1:20" ht="14.25" customHeight="1" thickTop="1" thickBot="1">
      <c r="A15" s="144">
        <f ca="1">A14+TIME(,RAND()*1+(1-0),RAND()*10+10)</f>
        <v>6.5856481481481478E-3</v>
      </c>
      <c r="B15" s="140">
        <f t="shared" si="0"/>
        <v>19.782</v>
      </c>
      <c r="C15" s="20">
        <v>280</v>
      </c>
      <c r="D15" s="149">
        <v>1.68</v>
      </c>
      <c r="E15" s="22">
        <v>1.65</v>
      </c>
      <c r="F15" s="150">
        <f t="shared" si="1"/>
        <v>1.665</v>
      </c>
      <c r="G15" s="23">
        <f t="shared" si="3"/>
        <v>1.665</v>
      </c>
      <c r="H15" s="217" t="s">
        <v>16</v>
      </c>
      <c r="I15" s="218"/>
      <c r="J15" s="220" t="s">
        <v>27</v>
      </c>
      <c r="K15" s="2">
        <f>ROUND(K14,1)*1.3</f>
        <v>257.92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1.75</v>
      </c>
      <c r="T15" s="133">
        <f t="shared" si="2"/>
        <v>1.7650000000000001</v>
      </c>
    </row>
    <row r="16" spans="1:20" ht="14.25" customHeight="1">
      <c r="A16" s="144">
        <f ca="1">A15+TIME(,RAND()*1+(1-0),RAND()*10+10)</f>
        <v>7.4189814814814813E-3</v>
      </c>
      <c r="B16" s="140">
        <f t="shared" si="0"/>
        <v>22.254750000000001</v>
      </c>
      <c r="C16" s="20">
        <v>315</v>
      </c>
      <c r="D16" s="149">
        <v>1.86</v>
      </c>
      <c r="E16" s="22">
        <v>1.84</v>
      </c>
      <c r="F16" s="150">
        <f t="shared" si="1"/>
        <v>1.85</v>
      </c>
      <c r="G16" s="23">
        <f t="shared" si="3"/>
        <v>1.85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8.2986111111111108E-3</v>
      </c>
      <c r="B17" s="140">
        <f t="shared" si="0"/>
        <v>24.727500000000003</v>
      </c>
      <c r="C17" s="20">
        <v>350</v>
      </c>
      <c r="D17" s="149">
        <v>1.99</v>
      </c>
      <c r="E17" s="22">
        <v>1.99</v>
      </c>
      <c r="F17" s="150">
        <f t="shared" si="1"/>
        <v>1.99</v>
      </c>
      <c r="G17" s="23">
        <f t="shared" si="3"/>
        <v>1.99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9.1435185185185178E-3</v>
      </c>
      <c r="B18" s="140">
        <f t="shared" si="0"/>
        <v>27.20025</v>
      </c>
      <c r="C18" s="20">
        <v>385</v>
      </c>
      <c r="D18" s="149">
        <v>2.0299999999999998</v>
      </c>
      <c r="E18" s="22">
        <v>2.09</v>
      </c>
      <c r="F18" s="150">
        <f t="shared" si="1"/>
        <v>2.0599999999999996</v>
      </c>
      <c r="G18" s="23">
        <f t="shared" si="3"/>
        <v>2.0599999999999996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1.0046296296296296E-2</v>
      </c>
      <c r="B19" s="140">
        <f t="shared" si="0"/>
        <v>29.673000000000002</v>
      </c>
      <c r="C19" s="20">
        <v>420</v>
      </c>
      <c r="D19" s="149">
        <v>2.15</v>
      </c>
      <c r="E19" s="22">
        <v>2.2000000000000002</v>
      </c>
      <c r="F19" s="150">
        <f t="shared" si="1"/>
        <v>2.1749999999999998</v>
      </c>
      <c r="G19" s="23">
        <f t="shared" si="3"/>
        <v>2.1749999999999998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1.0856481481481481E-2</v>
      </c>
      <c r="B20" s="140">
        <f t="shared" si="0"/>
        <v>32.14575</v>
      </c>
      <c r="C20" s="20">
        <v>455</v>
      </c>
      <c r="D20" s="149">
        <v>2.21</v>
      </c>
      <c r="E20" s="22">
        <v>2.35</v>
      </c>
      <c r="F20" s="150">
        <f t="shared" si="1"/>
        <v>2.2800000000000002</v>
      </c>
      <c r="G20" s="23">
        <f t="shared" si="3"/>
        <v>2.2800000000000002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1.1678240740740741E-2</v>
      </c>
      <c r="B21" s="140">
        <f t="shared" si="0"/>
        <v>34.618500000000004</v>
      </c>
      <c r="C21" s="20">
        <v>490</v>
      </c>
      <c r="D21" s="149">
        <v>2.4500000000000002</v>
      </c>
      <c r="E21" s="22">
        <v>2.5099999999999998</v>
      </c>
      <c r="F21" s="150">
        <f t="shared" si="1"/>
        <v>2.48</v>
      </c>
      <c r="G21" s="23">
        <f t="shared" si="3"/>
        <v>2.48</v>
      </c>
      <c r="H21" s="204" t="str">
        <f>"K30  = "&amp;ROUND(K13,1)&amp;"÷2.5"</f>
        <v>K30  = 496÷2.5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1.255787037037037E-2</v>
      </c>
      <c r="B22" s="140">
        <f t="shared" si="0"/>
        <v>37.091250000000002</v>
      </c>
      <c r="C22" s="20">
        <v>525</v>
      </c>
      <c r="D22" s="149">
        <v>2.57</v>
      </c>
      <c r="E22" s="22">
        <v>2.62</v>
      </c>
      <c r="F22" s="150">
        <f t="shared" si="1"/>
        <v>2.5949999999999998</v>
      </c>
      <c r="G22" s="23">
        <f t="shared" si="3"/>
        <v>2.5949999999999998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1.3402777777777777E-2</v>
      </c>
      <c r="B23" s="140">
        <f t="shared" si="0"/>
        <v>39.564</v>
      </c>
      <c r="C23" s="20">
        <v>560</v>
      </c>
      <c r="D23" s="149">
        <v>2.69</v>
      </c>
      <c r="E23" s="22">
        <v>2.74</v>
      </c>
      <c r="F23" s="150">
        <f t="shared" si="1"/>
        <v>2.7149999999999999</v>
      </c>
      <c r="G23" s="23">
        <f t="shared" si="3"/>
        <v>2.7149999999999999</v>
      </c>
      <c r="H23" s="212">
        <f>K14</f>
        <v>198.4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198.4×1.3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257.92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198.4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8FBD-FD1C-4B58-B181-2E60F3F85783}">
  <dimension ref="A1:T66"/>
  <sheetViews>
    <sheetView view="pageBreakPreview" topLeftCell="A13" zoomScale="115" zoomScaleNormal="100" zoomScaleSheetLayoutView="115" workbookViewId="0">
      <selection activeCell="C22" sqref="C22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List!B30</f>
        <v>46171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List!A30</f>
        <v>27</v>
      </c>
      <c r="C3" s="253"/>
      <c r="D3" s="253"/>
      <c r="E3" s="253"/>
      <c r="F3" s="45" t="s">
        <v>34</v>
      </c>
      <c r="G3" s="281" t="str">
        <f>List!C30</f>
        <v>중로(집) 3-16 (No.36 ~ No.41) 노체 13단(39층)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0.17</v>
      </c>
      <c r="E8" s="22">
        <v>0.18</v>
      </c>
      <c r="F8" s="150">
        <f>IFERROR((D8+E8)/2," ")</f>
        <v>0.17499999999999999</v>
      </c>
      <c r="G8" s="23">
        <f>F8-F7</f>
        <v>0.17499999999999999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0.28000000000000003</v>
      </c>
      <c r="T8" s="133">
        <f>F8+Q8</f>
        <v>0.27500000000000002</v>
      </c>
    </row>
    <row r="9" spans="1:20" ht="14.25" customHeight="1" thickTop="1">
      <c r="A9" s="144">
        <f ca="1">A8+TIME(,RAND()*1+(1-0),RAND()*10+10)</f>
        <v>1.6550925925925926E-3</v>
      </c>
      <c r="B9" s="140">
        <f t="shared" ref="B9:B22" si="0">C9*0.07065</f>
        <v>4.9455</v>
      </c>
      <c r="C9" s="20">
        <v>70</v>
      </c>
      <c r="D9" s="149">
        <v>0.4</v>
      </c>
      <c r="E9" s="22">
        <v>0.28999999999999998</v>
      </c>
      <c r="F9" s="150">
        <f t="shared" ref="F9:F22" si="1">IFERROR((D9+E9)/2," ")</f>
        <v>0.34499999999999997</v>
      </c>
      <c r="G9" s="23">
        <f>F9-$F$7</f>
        <v>0.34499999999999997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0.39</v>
      </c>
      <c r="T9" s="133">
        <f t="shared" si="2"/>
        <v>0.44499999999999995</v>
      </c>
    </row>
    <row r="10" spans="1:20" ht="14.25" customHeight="1">
      <c r="A10" s="144">
        <f ca="1">A9+TIME(,RAND()*1+(1-0),RAND()*10+5)</f>
        <v>2.4189814814814816E-3</v>
      </c>
      <c r="B10" s="140">
        <f t="shared" si="0"/>
        <v>7.4182500000000005</v>
      </c>
      <c r="C10" s="20">
        <v>105</v>
      </c>
      <c r="D10" s="149">
        <v>0.51</v>
      </c>
      <c r="E10" s="22">
        <v>0.43</v>
      </c>
      <c r="F10" s="150">
        <f t="shared" si="1"/>
        <v>0.47</v>
      </c>
      <c r="G10" s="23">
        <f t="shared" ref="G10:G22" si="3">F10-$F$7</f>
        <v>0.47</v>
      </c>
      <c r="H10" s="217"/>
      <c r="I10" s="218"/>
      <c r="J10" s="219"/>
      <c r="K10" s="24" t="s">
        <v>15</v>
      </c>
      <c r="L10" s="25">
        <v>0</v>
      </c>
      <c r="M10" s="62">
        <f>K13</f>
        <v>456</v>
      </c>
      <c r="N10" s="2"/>
      <c r="P10" s="3">
        <v>0.1</v>
      </c>
      <c r="Q10" s="3">
        <v>0.1</v>
      </c>
      <c r="S10" s="133">
        <f t="shared" si="2"/>
        <v>0.53</v>
      </c>
      <c r="T10" s="133">
        <f t="shared" si="2"/>
        <v>0.56999999999999995</v>
      </c>
    </row>
    <row r="11" spans="1:20" ht="14.25" customHeight="1" thickBot="1">
      <c r="A11" s="144">
        <f ca="1">A10+TIME(,RAND()*1+(1-0),RAND()*10+5)</f>
        <v>3.1712962962962962E-3</v>
      </c>
      <c r="B11" s="140">
        <f t="shared" si="0"/>
        <v>9.891</v>
      </c>
      <c r="C11" s="20">
        <v>140</v>
      </c>
      <c r="D11" s="149">
        <v>0.55000000000000004</v>
      </c>
      <c r="E11" s="22">
        <v>0.75</v>
      </c>
      <c r="F11" s="150">
        <f t="shared" si="1"/>
        <v>0.65</v>
      </c>
      <c r="G11" s="23">
        <f t="shared" si="3"/>
        <v>0.65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0.85</v>
      </c>
      <c r="T11" s="133">
        <f t="shared" si="2"/>
        <v>0.75</v>
      </c>
    </row>
    <row r="12" spans="1:20" ht="14.25" customHeight="1" thickTop="1">
      <c r="A12" s="144">
        <f ca="1">A11+TIME(,RAND()*1+(1-0),RAND()*10+10)</f>
        <v>4.0740740740740737E-3</v>
      </c>
      <c r="B12" s="140">
        <f t="shared" si="0"/>
        <v>12.363750000000001</v>
      </c>
      <c r="C12" s="20">
        <v>175</v>
      </c>
      <c r="D12" s="149">
        <v>0.78</v>
      </c>
      <c r="E12" s="22">
        <v>0.81</v>
      </c>
      <c r="F12" s="150">
        <f t="shared" si="1"/>
        <v>0.79500000000000004</v>
      </c>
      <c r="G12" s="23">
        <f t="shared" si="3"/>
        <v>0.79500000000000004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0.91</v>
      </c>
      <c r="T12" s="133">
        <f t="shared" si="2"/>
        <v>0.89500000000000002</v>
      </c>
    </row>
    <row r="13" spans="1:20" ht="14.25" customHeight="1">
      <c r="A13" s="144">
        <f ca="1">A12+TIME(,RAND()*1+(1-0),RAND()*10+10)</f>
        <v>4.9421296296296297E-3</v>
      </c>
      <c r="B13" s="140">
        <f t="shared" si="0"/>
        <v>14.836500000000001</v>
      </c>
      <c r="C13" s="20">
        <v>210</v>
      </c>
      <c r="D13" s="149">
        <v>0.92</v>
      </c>
      <c r="E13" s="22">
        <v>1.05</v>
      </c>
      <c r="F13" s="150">
        <f t="shared" si="1"/>
        <v>0.9850000000000001</v>
      </c>
      <c r="G13" s="23">
        <f t="shared" si="3"/>
        <v>0.9850000000000001</v>
      </c>
      <c r="H13" s="217" t="s">
        <v>16</v>
      </c>
      <c r="I13" s="218"/>
      <c r="J13" s="219" t="s">
        <v>23</v>
      </c>
      <c r="K13" s="30">
        <v>456</v>
      </c>
      <c r="L13" s="25">
        <f>M10</f>
        <v>456</v>
      </c>
      <c r="M13" s="26">
        <f>L13</f>
        <v>456</v>
      </c>
      <c r="N13" s="2"/>
      <c r="P13" s="3">
        <v>0.1</v>
      </c>
      <c r="Q13" s="3">
        <v>0.1</v>
      </c>
      <c r="S13" s="133">
        <f t="shared" si="2"/>
        <v>1.1500000000000001</v>
      </c>
      <c r="T13" s="133">
        <f t="shared" si="2"/>
        <v>1.0850000000000002</v>
      </c>
    </row>
    <row r="14" spans="1:20" ht="14.25" customHeight="1" thickBot="1">
      <c r="A14" s="144">
        <f ca="1">A13+TIME(,RAND()*1+(1-0),RAND()*10+10)</f>
        <v>5.7523148148148151E-3</v>
      </c>
      <c r="B14" s="140">
        <f t="shared" si="0"/>
        <v>17.309250000000002</v>
      </c>
      <c r="C14" s="20">
        <v>245</v>
      </c>
      <c r="D14" s="149">
        <v>1.25</v>
      </c>
      <c r="E14" s="22">
        <v>1.24</v>
      </c>
      <c r="F14" s="150">
        <f t="shared" si="1"/>
        <v>1.2450000000000001</v>
      </c>
      <c r="G14" s="23">
        <f t="shared" si="3"/>
        <v>1.2450000000000001</v>
      </c>
      <c r="H14" s="217"/>
      <c r="I14" s="218"/>
      <c r="J14" s="219"/>
      <c r="K14" s="17">
        <f>K13/2.5</f>
        <v>182.4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1.34</v>
      </c>
      <c r="T14" s="133">
        <f t="shared" si="2"/>
        <v>1.3450000000000002</v>
      </c>
    </row>
    <row r="15" spans="1:20" ht="14.25" customHeight="1" thickTop="1" thickBot="1">
      <c r="A15" s="144">
        <f ca="1">A14+TIME(,RAND()*1+(1-0),RAND()*10+10)</f>
        <v>6.6666666666666671E-3</v>
      </c>
      <c r="B15" s="140">
        <f t="shared" si="0"/>
        <v>19.782</v>
      </c>
      <c r="C15" s="20">
        <v>280</v>
      </c>
      <c r="D15" s="149">
        <v>1.42</v>
      </c>
      <c r="E15" s="22">
        <v>1.52</v>
      </c>
      <c r="F15" s="150">
        <f t="shared" si="1"/>
        <v>1.47</v>
      </c>
      <c r="G15" s="23">
        <f t="shared" si="3"/>
        <v>1.47</v>
      </c>
      <c r="H15" s="217" t="s">
        <v>16</v>
      </c>
      <c r="I15" s="218"/>
      <c r="J15" s="220" t="s">
        <v>27</v>
      </c>
      <c r="K15" s="2">
        <f>ROUND(K14,1)*1.3</f>
        <v>237.12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1.62</v>
      </c>
      <c r="T15" s="133">
        <f t="shared" si="2"/>
        <v>1.57</v>
      </c>
    </row>
    <row r="16" spans="1:20" ht="14.25" customHeight="1">
      <c r="A16" s="144">
        <f ca="1">A15+TIME(,RAND()*1+(1-0),RAND()*10+10)</f>
        <v>7.5462962962962966E-3</v>
      </c>
      <c r="B16" s="140">
        <f t="shared" si="0"/>
        <v>22.254750000000001</v>
      </c>
      <c r="C16" s="20">
        <v>315</v>
      </c>
      <c r="D16" s="149">
        <v>1.66</v>
      </c>
      <c r="E16" s="22">
        <v>1.67</v>
      </c>
      <c r="F16" s="150">
        <f t="shared" si="1"/>
        <v>1.665</v>
      </c>
      <c r="G16" s="23">
        <f t="shared" si="3"/>
        <v>1.665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8.4143518518518517E-3</v>
      </c>
      <c r="B17" s="140">
        <f t="shared" si="0"/>
        <v>24.727500000000003</v>
      </c>
      <c r="C17" s="20">
        <v>350</v>
      </c>
      <c r="D17" s="149">
        <v>1.86</v>
      </c>
      <c r="E17" s="22">
        <v>1.7</v>
      </c>
      <c r="F17" s="150">
        <f t="shared" si="1"/>
        <v>1.78</v>
      </c>
      <c r="G17" s="23">
        <f t="shared" si="3"/>
        <v>1.78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9.3055555555555548E-3</v>
      </c>
      <c r="B18" s="140">
        <f t="shared" si="0"/>
        <v>27.20025</v>
      </c>
      <c r="C18" s="20">
        <v>385</v>
      </c>
      <c r="D18" s="149">
        <v>2.14</v>
      </c>
      <c r="E18" s="22">
        <v>1.73</v>
      </c>
      <c r="F18" s="150">
        <f t="shared" si="1"/>
        <v>1.9350000000000001</v>
      </c>
      <c r="G18" s="23">
        <f t="shared" si="3"/>
        <v>1.9350000000000001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1.0162037037037035E-2</v>
      </c>
      <c r="B19" s="140">
        <f t="shared" si="0"/>
        <v>29.673000000000002</v>
      </c>
      <c r="C19" s="20">
        <v>420</v>
      </c>
      <c r="D19" s="149">
        <v>2.37</v>
      </c>
      <c r="E19" s="22">
        <v>1.98</v>
      </c>
      <c r="F19" s="150">
        <f t="shared" si="1"/>
        <v>2.1749999999999998</v>
      </c>
      <c r="G19" s="23">
        <f t="shared" si="3"/>
        <v>2.1749999999999998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1.0983796296296295E-2</v>
      </c>
      <c r="B20" s="140">
        <f t="shared" si="0"/>
        <v>32.14575</v>
      </c>
      <c r="C20" s="20">
        <v>455</v>
      </c>
      <c r="D20" s="149">
        <v>2.7</v>
      </c>
      <c r="E20" s="22">
        <v>2.15</v>
      </c>
      <c r="F20" s="150">
        <f t="shared" si="1"/>
        <v>2.4249999999999998</v>
      </c>
      <c r="G20" s="23">
        <f t="shared" si="3"/>
        <v>2.4249999999999998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1.1851851851851851E-2</v>
      </c>
      <c r="B21" s="140">
        <f t="shared" si="0"/>
        <v>34.618500000000004</v>
      </c>
      <c r="C21" s="20">
        <v>490</v>
      </c>
      <c r="D21" s="149">
        <v>2.94</v>
      </c>
      <c r="E21" s="22">
        <v>2.2599999999999998</v>
      </c>
      <c r="F21" s="150">
        <f t="shared" si="1"/>
        <v>2.5999999999999996</v>
      </c>
      <c r="G21" s="23">
        <f t="shared" si="3"/>
        <v>2.5999999999999996</v>
      </c>
      <c r="H21" s="204" t="str">
        <f>"K30  = "&amp;ROUND(K13,1)&amp;"÷2.5"</f>
        <v>K30  = 456÷2.5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1.275462962962963E-2</v>
      </c>
      <c r="B22" s="140">
        <f t="shared" si="0"/>
        <v>37.091250000000002</v>
      </c>
      <c r="C22" s="20">
        <v>525</v>
      </c>
      <c r="D22" s="149">
        <v>2.96</v>
      </c>
      <c r="E22" s="22">
        <v>3.17</v>
      </c>
      <c r="F22" s="150">
        <f t="shared" si="1"/>
        <v>3.0649999999999999</v>
      </c>
      <c r="G22" s="23">
        <f t="shared" si="3"/>
        <v>3.0649999999999999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182.4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182.4×1.3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237.12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182.4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6BFB-C568-45C7-9E84-583D4E80A753}">
  <dimension ref="A1:T66"/>
  <sheetViews>
    <sheetView view="pageBreakPreview" topLeftCell="A13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List!B29</f>
        <v>46171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List!A29</f>
        <v>26</v>
      </c>
      <c r="C3" s="253"/>
      <c r="D3" s="253"/>
      <c r="E3" s="253"/>
      <c r="F3" s="45" t="s">
        <v>34</v>
      </c>
      <c r="G3" s="281" t="str">
        <f>List!C29</f>
        <v>중로(집) 3-12 (No.17 ~ No.20) 노체 4단(12층)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7.6388888888888893E-4</v>
      </c>
      <c r="B8" s="140">
        <f>C8*0.07065</f>
        <v>2.47275</v>
      </c>
      <c r="C8" s="20">
        <v>35</v>
      </c>
      <c r="D8" s="149">
        <v>0.18</v>
      </c>
      <c r="E8" s="22">
        <v>0.11</v>
      </c>
      <c r="F8" s="150">
        <f>IFERROR((D8+E8)/2," ")</f>
        <v>0.14499999999999999</v>
      </c>
      <c r="G8" s="23">
        <f>F8-F7</f>
        <v>0.14499999999999999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0.21000000000000002</v>
      </c>
      <c r="T8" s="133">
        <f>F8+Q8</f>
        <v>0.245</v>
      </c>
    </row>
    <row r="9" spans="1:20" ht="14.25" customHeight="1" thickTop="1">
      <c r="A9" s="144">
        <f ca="1">A8+TIME(,RAND()*1+(1-0),RAND()*10+10)</f>
        <v>1.6782407407407408E-3</v>
      </c>
      <c r="B9" s="140">
        <f t="shared" ref="B9:B21" si="0">C9*0.07065</f>
        <v>4.9455</v>
      </c>
      <c r="C9" s="20">
        <v>70</v>
      </c>
      <c r="D9" s="149">
        <v>0.51</v>
      </c>
      <c r="E9" s="22">
        <v>0.25</v>
      </c>
      <c r="F9" s="150">
        <f t="shared" ref="F9:F21" si="1">IFERROR((D9+E9)/2," ")</f>
        <v>0.38</v>
      </c>
      <c r="G9" s="23">
        <f>F9-$F$7</f>
        <v>0.38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0.35</v>
      </c>
      <c r="T9" s="133">
        <f t="shared" si="2"/>
        <v>0.48</v>
      </c>
    </row>
    <row r="10" spans="1:20" ht="14.25" customHeight="1">
      <c r="A10" s="144">
        <f ca="1">A9+TIME(,RAND()*1+(1-0),RAND()*10+5)</f>
        <v>2.488425925925926E-3</v>
      </c>
      <c r="B10" s="140">
        <f t="shared" si="0"/>
        <v>7.4182500000000005</v>
      </c>
      <c r="C10" s="20">
        <v>105</v>
      </c>
      <c r="D10" s="149">
        <v>0.82</v>
      </c>
      <c r="E10" s="22">
        <v>0.35</v>
      </c>
      <c r="F10" s="150">
        <f t="shared" si="1"/>
        <v>0.58499999999999996</v>
      </c>
      <c r="G10" s="23">
        <f t="shared" ref="G10:G21" si="3">F10-$F$7</f>
        <v>0.58499999999999996</v>
      </c>
      <c r="H10" s="217"/>
      <c r="I10" s="218"/>
      <c r="J10" s="219"/>
      <c r="K10" s="24" t="s">
        <v>15</v>
      </c>
      <c r="L10" s="25">
        <v>0</v>
      </c>
      <c r="M10" s="62">
        <f>K13</f>
        <v>428</v>
      </c>
      <c r="N10" s="2"/>
      <c r="P10" s="3">
        <v>0.1</v>
      </c>
      <c r="Q10" s="3">
        <v>0.1</v>
      </c>
      <c r="S10" s="133">
        <f t="shared" si="2"/>
        <v>0.44999999999999996</v>
      </c>
      <c r="T10" s="133">
        <f t="shared" si="2"/>
        <v>0.68499999999999994</v>
      </c>
    </row>
    <row r="11" spans="1:20" ht="14.25" customHeight="1" thickBot="1">
      <c r="A11" s="144">
        <f ca="1">A10+TIME(,RAND()*1+(1-0),RAND()*10+5)</f>
        <v>3.2523148148148151E-3</v>
      </c>
      <c r="B11" s="140">
        <f t="shared" si="0"/>
        <v>9.891</v>
      </c>
      <c r="C11" s="20">
        <v>140</v>
      </c>
      <c r="D11" s="149">
        <v>1.0900000000000001</v>
      </c>
      <c r="E11" s="22">
        <v>0.68</v>
      </c>
      <c r="F11" s="150">
        <f t="shared" si="1"/>
        <v>0.88500000000000001</v>
      </c>
      <c r="G11" s="23">
        <f t="shared" si="3"/>
        <v>0.88500000000000001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0.78</v>
      </c>
      <c r="T11" s="133">
        <f t="shared" si="2"/>
        <v>0.98499999999999999</v>
      </c>
    </row>
    <row r="12" spans="1:20" ht="14.25" customHeight="1" thickTop="1">
      <c r="A12" s="144">
        <f ca="1">A11+TIME(,RAND()*1+(1-0),RAND()*10+10)</f>
        <v>4.0740740740740746E-3</v>
      </c>
      <c r="B12" s="140">
        <f t="shared" si="0"/>
        <v>12.363750000000001</v>
      </c>
      <c r="C12" s="20">
        <v>175</v>
      </c>
      <c r="D12" s="149">
        <v>1.34</v>
      </c>
      <c r="E12" s="22">
        <v>0.97</v>
      </c>
      <c r="F12" s="150">
        <f t="shared" si="1"/>
        <v>1.155</v>
      </c>
      <c r="G12" s="23">
        <f t="shared" si="3"/>
        <v>1.155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1.07</v>
      </c>
      <c r="T12" s="133">
        <f t="shared" si="2"/>
        <v>1.2550000000000001</v>
      </c>
    </row>
    <row r="13" spans="1:20" ht="14.25" customHeight="1">
      <c r="A13" s="144">
        <f ca="1">A12+TIME(,RAND()*1+(1-0),RAND()*10+10)</f>
        <v>4.9074074074074081E-3</v>
      </c>
      <c r="B13" s="140">
        <f t="shared" si="0"/>
        <v>14.836500000000001</v>
      </c>
      <c r="C13" s="20">
        <v>210</v>
      </c>
      <c r="D13" s="149">
        <v>1.67</v>
      </c>
      <c r="E13" s="22">
        <v>1.1599999999999999</v>
      </c>
      <c r="F13" s="150">
        <f t="shared" si="1"/>
        <v>1.415</v>
      </c>
      <c r="G13" s="23">
        <f t="shared" si="3"/>
        <v>1.415</v>
      </c>
      <c r="H13" s="217" t="s">
        <v>16</v>
      </c>
      <c r="I13" s="218"/>
      <c r="J13" s="219" t="s">
        <v>23</v>
      </c>
      <c r="K13" s="30">
        <v>428</v>
      </c>
      <c r="L13" s="25">
        <f>M10</f>
        <v>428</v>
      </c>
      <c r="M13" s="26">
        <f>L13</f>
        <v>428</v>
      </c>
      <c r="N13" s="2"/>
      <c r="P13" s="3">
        <v>0.1</v>
      </c>
      <c r="Q13" s="3">
        <v>0.1</v>
      </c>
      <c r="S13" s="133">
        <f t="shared" si="2"/>
        <v>1.26</v>
      </c>
      <c r="T13" s="133">
        <f t="shared" si="2"/>
        <v>1.5150000000000001</v>
      </c>
    </row>
    <row r="14" spans="1:20" ht="14.25" customHeight="1" thickBot="1">
      <c r="A14" s="144">
        <f ca="1">A13+TIME(,RAND()*1+(1-0),RAND()*10+10)</f>
        <v>5.7523148148148151E-3</v>
      </c>
      <c r="B14" s="140">
        <f t="shared" si="0"/>
        <v>17.309250000000002</v>
      </c>
      <c r="C14" s="20">
        <v>245</v>
      </c>
      <c r="D14" s="149">
        <v>1.84</v>
      </c>
      <c r="E14" s="22">
        <v>1.23</v>
      </c>
      <c r="F14" s="150">
        <f t="shared" si="1"/>
        <v>1.5350000000000001</v>
      </c>
      <c r="G14" s="23">
        <f t="shared" si="3"/>
        <v>1.5350000000000001</v>
      </c>
      <c r="H14" s="217"/>
      <c r="I14" s="218"/>
      <c r="J14" s="219"/>
      <c r="K14" s="17">
        <f>K13/2.5</f>
        <v>171.2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1.33</v>
      </c>
      <c r="T14" s="133">
        <f t="shared" si="2"/>
        <v>1.6350000000000002</v>
      </c>
    </row>
    <row r="15" spans="1:20" ht="14.25" customHeight="1" thickTop="1" thickBot="1">
      <c r="A15" s="144">
        <f ca="1">A14+TIME(,RAND()*1+(1-0),RAND()*10+10)</f>
        <v>6.6435185185185191E-3</v>
      </c>
      <c r="B15" s="140">
        <f t="shared" si="0"/>
        <v>19.782</v>
      </c>
      <c r="C15" s="20">
        <v>280</v>
      </c>
      <c r="D15" s="149">
        <v>2.02</v>
      </c>
      <c r="E15" s="22">
        <v>1.28</v>
      </c>
      <c r="F15" s="150">
        <f t="shared" si="1"/>
        <v>1.65</v>
      </c>
      <c r="G15" s="23">
        <f t="shared" si="3"/>
        <v>1.65</v>
      </c>
      <c r="H15" s="217" t="s">
        <v>16</v>
      </c>
      <c r="I15" s="218"/>
      <c r="J15" s="220" t="s">
        <v>27</v>
      </c>
      <c r="K15" s="2">
        <f>ROUND(K14,1)*1.3</f>
        <v>222.56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1.3800000000000001</v>
      </c>
      <c r="T15" s="133">
        <f t="shared" si="2"/>
        <v>1.75</v>
      </c>
    </row>
    <row r="16" spans="1:20" ht="14.25" customHeight="1">
      <c r="A16" s="144">
        <f ca="1">A15+TIME(,RAND()*1+(1-0),RAND()*10+10)</f>
        <v>7.5000000000000006E-3</v>
      </c>
      <c r="B16" s="140">
        <f t="shared" si="0"/>
        <v>22.254750000000001</v>
      </c>
      <c r="C16" s="20">
        <v>315</v>
      </c>
      <c r="D16" s="149">
        <v>2.11</v>
      </c>
      <c r="E16" s="22">
        <v>1.41</v>
      </c>
      <c r="F16" s="150">
        <f t="shared" si="1"/>
        <v>1.7599999999999998</v>
      </c>
      <c r="G16" s="23">
        <f t="shared" si="3"/>
        <v>1.7599999999999998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8.379629629629631E-3</v>
      </c>
      <c r="B17" s="140">
        <f t="shared" si="0"/>
        <v>24.727500000000003</v>
      </c>
      <c r="C17" s="20">
        <v>350</v>
      </c>
      <c r="D17" s="149">
        <v>2.36</v>
      </c>
      <c r="E17" s="22">
        <v>1.62</v>
      </c>
      <c r="F17" s="150">
        <f t="shared" si="1"/>
        <v>1.99</v>
      </c>
      <c r="G17" s="23">
        <f t="shared" si="3"/>
        <v>1.99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9.2939814814814829E-3</v>
      </c>
      <c r="B18" s="140">
        <f t="shared" si="0"/>
        <v>27.20025</v>
      </c>
      <c r="C18" s="20">
        <v>385</v>
      </c>
      <c r="D18" s="149">
        <v>2.67</v>
      </c>
      <c r="E18" s="22">
        <v>1.82</v>
      </c>
      <c r="F18" s="150">
        <f t="shared" si="1"/>
        <v>2.2450000000000001</v>
      </c>
      <c r="G18" s="23">
        <f t="shared" si="3"/>
        <v>2.2450000000000001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1.0196759259259261E-2</v>
      </c>
      <c r="B19" s="140">
        <f t="shared" si="0"/>
        <v>29.673000000000002</v>
      </c>
      <c r="C19" s="20">
        <v>420</v>
      </c>
      <c r="D19" s="149">
        <v>2.69</v>
      </c>
      <c r="E19" s="22">
        <v>2.11</v>
      </c>
      <c r="F19" s="150">
        <f t="shared" si="1"/>
        <v>2.4</v>
      </c>
      <c r="G19" s="23">
        <f t="shared" si="3"/>
        <v>2.4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1.1030092592592595E-2</v>
      </c>
      <c r="B20" s="140">
        <f t="shared" si="0"/>
        <v>32.14575</v>
      </c>
      <c r="C20" s="20">
        <v>455</v>
      </c>
      <c r="D20" s="149">
        <v>2.88</v>
      </c>
      <c r="E20" s="22">
        <v>2.44</v>
      </c>
      <c r="F20" s="150">
        <f t="shared" si="1"/>
        <v>2.66</v>
      </c>
      <c r="G20" s="23">
        <f t="shared" si="3"/>
        <v>2.66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1.1944444444444447E-2</v>
      </c>
      <c r="B21" s="140">
        <f t="shared" si="0"/>
        <v>34.618500000000004</v>
      </c>
      <c r="C21" s="20">
        <v>490</v>
      </c>
      <c r="D21" s="149">
        <v>2.96</v>
      </c>
      <c r="E21" s="22">
        <v>2.5</v>
      </c>
      <c r="F21" s="150">
        <f t="shared" si="1"/>
        <v>2.73</v>
      </c>
      <c r="G21" s="23">
        <f t="shared" si="3"/>
        <v>2.73</v>
      </c>
      <c r="H21" s="204" t="str">
        <f>"K30  = "&amp;ROUND(K13,1)&amp;"÷2.5"</f>
        <v>K30  = 428÷2.5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171.2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171.2×1.3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222.56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171.2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F8FE-ED9E-43FF-B860-185B32D21A51}">
  <dimension ref="A1:T66"/>
  <sheetViews>
    <sheetView view="pageBreakPreview" topLeftCell="A16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List!B28</f>
        <v>46171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List!A28</f>
        <v>25</v>
      </c>
      <c r="C3" s="253"/>
      <c r="D3" s="253"/>
      <c r="E3" s="253"/>
      <c r="F3" s="45" t="s">
        <v>34</v>
      </c>
      <c r="G3" s="283" t="str">
        <f>List!C28</f>
        <v>중로(집) 3-12 (No.17 ~ No.20) 노체 3단(9층)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7.9861111111111116E-4</v>
      </c>
      <c r="B8" s="140">
        <f>C8*0.07065</f>
        <v>2.47275</v>
      </c>
      <c r="C8" s="20">
        <v>35</v>
      </c>
      <c r="D8" s="149">
        <v>0.27</v>
      </c>
      <c r="E8" s="22">
        <v>0.17</v>
      </c>
      <c r="F8" s="150">
        <f>IFERROR((D8+E8)/2," ")</f>
        <v>0.22000000000000003</v>
      </c>
      <c r="G8" s="23">
        <f>F8-F7</f>
        <v>0.22000000000000003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0.27</v>
      </c>
      <c r="T8" s="133">
        <f>F8+Q8</f>
        <v>0.32000000000000006</v>
      </c>
    </row>
    <row r="9" spans="1:20" ht="14.25" customHeight="1" thickTop="1">
      <c r="A9" s="144">
        <f ca="1">A8+TIME(,RAND()*1+(1-0),RAND()*10+10)</f>
        <v>1.6319444444444445E-3</v>
      </c>
      <c r="B9" s="140">
        <f t="shared" ref="B9:B21" si="0">C9*0.07065</f>
        <v>4.9455</v>
      </c>
      <c r="C9" s="20">
        <v>70</v>
      </c>
      <c r="D9" s="149">
        <v>0.61</v>
      </c>
      <c r="E9" s="22">
        <v>0.24</v>
      </c>
      <c r="F9" s="150">
        <f t="shared" ref="F9:F21" si="1">IFERROR((D9+E9)/2," ")</f>
        <v>0.42499999999999999</v>
      </c>
      <c r="G9" s="23">
        <f>F9-$F$7</f>
        <v>0.42499999999999999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0.33999999999999997</v>
      </c>
      <c r="T9" s="133">
        <f t="shared" si="2"/>
        <v>0.52500000000000002</v>
      </c>
    </row>
    <row r="10" spans="1:20" ht="14.25" customHeight="1">
      <c r="A10" s="144">
        <f ca="1">A9+TIME(,RAND()*1+(1-0),RAND()*10+5)</f>
        <v>2.3958333333333336E-3</v>
      </c>
      <c r="B10" s="140">
        <f t="shared" si="0"/>
        <v>7.4182500000000005</v>
      </c>
      <c r="C10" s="20">
        <v>105</v>
      </c>
      <c r="D10" s="149">
        <v>0.93</v>
      </c>
      <c r="E10" s="22">
        <v>0.55000000000000004</v>
      </c>
      <c r="F10" s="150">
        <f t="shared" si="1"/>
        <v>0.74</v>
      </c>
      <c r="G10" s="23">
        <f t="shared" ref="G10:G21" si="3">F10-$F$7</f>
        <v>0.74</v>
      </c>
      <c r="H10" s="217"/>
      <c r="I10" s="218"/>
      <c r="J10" s="219"/>
      <c r="K10" s="24" t="s">
        <v>15</v>
      </c>
      <c r="L10" s="25">
        <v>0</v>
      </c>
      <c r="M10" s="62">
        <f>K13</f>
        <v>431</v>
      </c>
      <c r="N10" s="2"/>
      <c r="P10" s="3">
        <v>0.1</v>
      </c>
      <c r="Q10" s="3">
        <v>0.1</v>
      </c>
      <c r="S10" s="133">
        <f t="shared" si="2"/>
        <v>0.65</v>
      </c>
      <c r="T10" s="133">
        <f t="shared" si="2"/>
        <v>0.84</v>
      </c>
    </row>
    <row r="11" spans="1:20" ht="14.25" customHeight="1" thickBot="1">
      <c r="A11" s="144">
        <f ca="1">A10+TIME(,RAND()*1+(1-0),RAND()*10+5)</f>
        <v>3.1597222222222226E-3</v>
      </c>
      <c r="B11" s="140">
        <f t="shared" si="0"/>
        <v>9.891</v>
      </c>
      <c r="C11" s="20">
        <v>140</v>
      </c>
      <c r="D11" s="149">
        <v>1.25</v>
      </c>
      <c r="E11" s="22">
        <v>0.79</v>
      </c>
      <c r="F11" s="150">
        <f t="shared" si="1"/>
        <v>1.02</v>
      </c>
      <c r="G11" s="23">
        <f t="shared" si="3"/>
        <v>1.02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0.89</v>
      </c>
      <c r="T11" s="133">
        <f t="shared" si="2"/>
        <v>1.1200000000000001</v>
      </c>
    </row>
    <row r="12" spans="1:20" ht="14.25" customHeight="1" thickTop="1">
      <c r="A12" s="144">
        <f ca="1">A11+TIME(,RAND()*1+(1-0),RAND()*10+10)</f>
        <v>4.0625000000000001E-3</v>
      </c>
      <c r="B12" s="140">
        <f t="shared" si="0"/>
        <v>12.363750000000001</v>
      </c>
      <c r="C12" s="20">
        <v>175</v>
      </c>
      <c r="D12" s="149">
        <v>1.3</v>
      </c>
      <c r="E12" s="22">
        <v>0.88</v>
      </c>
      <c r="F12" s="150">
        <f t="shared" si="1"/>
        <v>1.0900000000000001</v>
      </c>
      <c r="G12" s="23">
        <f t="shared" si="3"/>
        <v>1.0900000000000001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0.98</v>
      </c>
      <c r="T12" s="133">
        <f t="shared" si="2"/>
        <v>1.1900000000000002</v>
      </c>
    </row>
    <row r="13" spans="1:20" ht="14.25" customHeight="1">
      <c r="A13" s="144">
        <f ca="1">A12+TIME(,RAND()*1+(1-0),RAND()*10+10)</f>
        <v>4.9189814814814816E-3</v>
      </c>
      <c r="B13" s="140">
        <f t="shared" si="0"/>
        <v>14.836500000000001</v>
      </c>
      <c r="C13" s="20">
        <v>210</v>
      </c>
      <c r="D13" s="149">
        <v>1.62</v>
      </c>
      <c r="E13" s="22">
        <v>1.06</v>
      </c>
      <c r="F13" s="150">
        <f t="shared" si="1"/>
        <v>1.34</v>
      </c>
      <c r="G13" s="23">
        <f t="shared" si="3"/>
        <v>1.34</v>
      </c>
      <c r="H13" s="217" t="s">
        <v>16</v>
      </c>
      <c r="I13" s="218"/>
      <c r="J13" s="219" t="s">
        <v>23</v>
      </c>
      <c r="K13" s="30">
        <v>431</v>
      </c>
      <c r="L13" s="25">
        <f>M10</f>
        <v>431</v>
      </c>
      <c r="M13" s="26">
        <f>L13</f>
        <v>431</v>
      </c>
      <c r="N13" s="2"/>
      <c r="P13" s="3">
        <v>0.1</v>
      </c>
      <c r="Q13" s="3">
        <v>0.1</v>
      </c>
      <c r="S13" s="133">
        <f t="shared" si="2"/>
        <v>1.1600000000000001</v>
      </c>
      <c r="T13" s="133">
        <f t="shared" si="2"/>
        <v>1.4400000000000002</v>
      </c>
    </row>
    <row r="14" spans="1:20" ht="14.25" customHeight="1" thickBot="1">
      <c r="A14" s="144">
        <f ca="1">A13+TIME(,RAND()*1+(1-0),RAND()*10+10)</f>
        <v>5.7754629629629631E-3</v>
      </c>
      <c r="B14" s="140">
        <f t="shared" si="0"/>
        <v>17.309250000000002</v>
      </c>
      <c r="C14" s="20">
        <v>245</v>
      </c>
      <c r="D14" s="149">
        <v>1.88</v>
      </c>
      <c r="E14" s="22">
        <v>1.36</v>
      </c>
      <c r="F14" s="150">
        <f t="shared" si="1"/>
        <v>1.62</v>
      </c>
      <c r="G14" s="23">
        <f t="shared" si="3"/>
        <v>1.62</v>
      </c>
      <c r="H14" s="217"/>
      <c r="I14" s="218"/>
      <c r="J14" s="219"/>
      <c r="K14" s="17">
        <f>K13/2.5</f>
        <v>172.4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1.4600000000000002</v>
      </c>
      <c r="T14" s="133">
        <f t="shared" si="2"/>
        <v>1.7200000000000002</v>
      </c>
    </row>
    <row r="15" spans="1:20" ht="14.25" customHeight="1" thickTop="1" thickBot="1">
      <c r="A15" s="144">
        <f ca="1">A14+TIME(,RAND()*1+(1-0),RAND()*10+10)</f>
        <v>6.6782407407407407E-3</v>
      </c>
      <c r="B15" s="140">
        <f t="shared" si="0"/>
        <v>19.782</v>
      </c>
      <c r="C15" s="20">
        <v>280</v>
      </c>
      <c r="D15" s="149">
        <v>2.06</v>
      </c>
      <c r="E15" s="22">
        <v>1.58</v>
      </c>
      <c r="F15" s="150">
        <f t="shared" si="1"/>
        <v>1.82</v>
      </c>
      <c r="G15" s="23">
        <f t="shared" si="3"/>
        <v>1.82</v>
      </c>
      <c r="H15" s="217" t="s">
        <v>16</v>
      </c>
      <c r="I15" s="218"/>
      <c r="J15" s="220" t="s">
        <v>27</v>
      </c>
      <c r="K15" s="2">
        <f>ROUND(K14,1)*1.3</f>
        <v>224.12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1.6800000000000002</v>
      </c>
      <c r="T15" s="133">
        <f t="shared" si="2"/>
        <v>1.9200000000000002</v>
      </c>
    </row>
    <row r="16" spans="1:20" ht="14.25" customHeight="1">
      <c r="A16" s="144">
        <f ca="1">A15+TIME(,RAND()*1+(1-0),RAND()*10+10)</f>
        <v>7.5925925925925926E-3</v>
      </c>
      <c r="B16" s="140">
        <f t="shared" si="0"/>
        <v>22.254750000000001</v>
      </c>
      <c r="C16" s="20">
        <v>315</v>
      </c>
      <c r="D16" s="149">
        <v>2.12</v>
      </c>
      <c r="E16" s="22">
        <v>1.73</v>
      </c>
      <c r="F16" s="150">
        <f t="shared" si="1"/>
        <v>1.925</v>
      </c>
      <c r="G16" s="23">
        <f t="shared" si="3"/>
        <v>1.925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8.4259259259259253E-3</v>
      </c>
      <c r="B17" s="140">
        <f t="shared" si="0"/>
        <v>24.727500000000003</v>
      </c>
      <c r="C17" s="20">
        <v>350</v>
      </c>
      <c r="D17" s="149">
        <v>2.37</v>
      </c>
      <c r="E17" s="22">
        <v>1.76</v>
      </c>
      <c r="F17" s="150">
        <f t="shared" si="1"/>
        <v>2.0649999999999999</v>
      </c>
      <c r="G17" s="23">
        <f t="shared" si="3"/>
        <v>2.0649999999999999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9.2476851851851852E-3</v>
      </c>
      <c r="B18" s="140">
        <f t="shared" si="0"/>
        <v>27.20025</v>
      </c>
      <c r="C18" s="20">
        <v>385</v>
      </c>
      <c r="D18" s="149">
        <v>2.44</v>
      </c>
      <c r="E18" s="22">
        <v>2.08</v>
      </c>
      <c r="F18" s="150">
        <f t="shared" si="1"/>
        <v>2.2599999999999998</v>
      </c>
      <c r="G18" s="23">
        <f t="shared" si="3"/>
        <v>2.2599999999999998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1.0162037037037037E-2</v>
      </c>
      <c r="B19" s="140">
        <f t="shared" si="0"/>
        <v>29.673000000000002</v>
      </c>
      <c r="C19" s="20">
        <v>420</v>
      </c>
      <c r="D19" s="149">
        <v>2.5099999999999998</v>
      </c>
      <c r="E19" s="22">
        <v>2.2999999999999998</v>
      </c>
      <c r="F19" s="150">
        <f t="shared" si="1"/>
        <v>2.4049999999999998</v>
      </c>
      <c r="G19" s="23">
        <f t="shared" si="3"/>
        <v>2.4049999999999998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1.1006944444444444E-2</v>
      </c>
      <c r="B20" s="140">
        <f t="shared" si="0"/>
        <v>32.14575</v>
      </c>
      <c r="C20" s="20">
        <v>455</v>
      </c>
      <c r="D20" s="149">
        <v>2.72</v>
      </c>
      <c r="E20" s="22">
        <v>2.4</v>
      </c>
      <c r="F20" s="150">
        <f t="shared" si="1"/>
        <v>2.56</v>
      </c>
      <c r="G20" s="23">
        <f t="shared" si="3"/>
        <v>2.56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1.1921296296296296E-2</v>
      </c>
      <c r="B21" s="140">
        <f t="shared" si="0"/>
        <v>34.618500000000004</v>
      </c>
      <c r="C21" s="20">
        <v>490</v>
      </c>
      <c r="D21" s="149">
        <v>2.84</v>
      </c>
      <c r="E21" s="22">
        <v>2.59</v>
      </c>
      <c r="F21" s="150">
        <f t="shared" si="1"/>
        <v>2.7149999999999999</v>
      </c>
      <c r="G21" s="23">
        <f t="shared" si="3"/>
        <v>2.7149999999999999</v>
      </c>
      <c r="H21" s="204" t="str">
        <f>"K30  = "&amp;ROUND(K13,1)&amp;"÷2.5"</f>
        <v>K30  = 431÷2.5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172.4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172.4×1.3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224.12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172.4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3A78-FAC3-48D8-979B-0794BE87E9CB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List!B27</f>
        <v>46170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List!A27</f>
        <v>24</v>
      </c>
      <c r="C3" s="253"/>
      <c r="D3" s="253"/>
      <c r="E3" s="253"/>
      <c r="F3" s="45" t="s">
        <v>34</v>
      </c>
      <c r="G3" s="281" t="str">
        <f>List!C27</f>
        <v>중로(집) 3-16 (No.36 ~ No.41) 노체 12단(36층)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7.8703703703703705E-4</v>
      </c>
      <c r="B8" s="140">
        <f>C8*0.07065</f>
        <v>2.47275</v>
      </c>
      <c r="C8" s="20">
        <v>35</v>
      </c>
      <c r="D8" s="149">
        <v>0.21</v>
      </c>
      <c r="E8" s="22">
        <v>0.09</v>
      </c>
      <c r="F8" s="150">
        <f>IFERROR((D8+E8)/2," ")</f>
        <v>0.15</v>
      </c>
      <c r="G8" s="23">
        <f>F8-F7</f>
        <v>0.15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0.19</v>
      </c>
      <c r="T8" s="133">
        <f>F8+Q8</f>
        <v>0.25</v>
      </c>
    </row>
    <row r="9" spans="1:20" ht="14.25" customHeight="1" thickTop="1">
      <c r="A9" s="144">
        <f ca="1">A8+TIME(,RAND()*1+(1-0),RAND()*10+10)</f>
        <v>1.6203703703703705E-3</v>
      </c>
      <c r="B9" s="140">
        <f t="shared" ref="B9:B21" si="0">C9*0.07065</f>
        <v>4.9455</v>
      </c>
      <c r="C9" s="20">
        <v>70</v>
      </c>
      <c r="D9" s="149">
        <v>0.54</v>
      </c>
      <c r="E9" s="22">
        <v>0.11</v>
      </c>
      <c r="F9" s="150">
        <f t="shared" ref="F9:F21" si="1">IFERROR((D9+E9)/2," ")</f>
        <v>0.32500000000000001</v>
      </c>
      <c r="G9" s="23">
        <f>F9-$F$7</f>
        <v>0.32500000000000001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0.21000000000000002</v>
      </c>
      <c r="T9" s="133">
        <f t="shared" si="2"/>
        <v>0.42500000000000004</v>
      </c>
    </row>
    <row r="10" spans="1:20" ht="14.25" customHeight="1">
      <c r="A10" s="144">
        <f ca="1">A9+TIME(,RAND()*1+(1-0),RAND()*10+5)</f>
        <v>2.3726851851851851E-3</v>
      </c>
      <c r="B10" s="140">
        <f t="shared" si="0"/>
        <v>7.4182500000000005</v>
      </c>
      <c r="C10" s="20">
        <v>105</v>
      </c>
      <c r="D10" s="149">
        <v>0.56000000000000005</v>
      </c>
      <c r="E10" s="22">
        <v>0.19</v>
      </c>
      <c r="F10" s="150">
        <f t="shared" si="1"/>
        <v>0.375</v>
      </c>
      <c r="G10" s="23">
        <f t="shared" ref="G10:G21" si="3">F10-$F$7</f>
        <v>0.375</v>
      </c>
      <c r="H10" s="217"/>
      <c r="I10" s="218"/>
      <c r="J10" s="219"/>
      <c r="K10" s="24" t="s">
        <v>15</v>
      </c>
      <c r="L10" s="25">
        <v>0</v>
      </c>
      <c r="M10" s="62">
        <f>K13</f>
        <v>458</v>
      </c>
      <c r="N10" s="2"/>
      <c r="P10" s="3">
        <v>0.1</v>
      </c>
      <c r="Q10" s="3">
        <v>0.1</v>
      </c>
      <c r="S10" s="133">
        <f t="shared" si="2"/>
        <v>0.29000000000000004</v>
      </c>
      <c r="T10" s="133">
        <f t="shared" si="2"/>
        <v>0.47499999999999998</v>
      </c>
    </row>
    <row r="11" spans="1:20" ht="14.25" customHeight="1" thickBot="1">
      <c r="A11" s="144">
        <f ca="1">A10+TIME(,RAND()*1+(1-0),RAND()*10+5)</f>
        <v>3.1250000000000002E-3</v>
      </c>
      <c r="B11" s="140">
        <f t="shared" si="0"/>
        <v>9.891</v>
      </c>
      <c r="C11" s="20">
        <v>140</v>
      </c>
      <c r="D11" s="149">
        <v>0.76</v>
      </c>
      <c r="E11" s="22">
        <v>0.36</v>
      </c>
      <c r="F11" s="150">
        <f t="shared" si="1"/>
        <v>0.56000000000000005</v>
      </c>
      <c r="G11" s="23">
        <f t="shared" si="3"/>
        <v>0.56000000000000005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0.45999999999999996</v>
      </c>
      <c r="T11" s="133">
        <f t="shared" si="2"/>
        <v>0.66</v>
      </c>
    </row>
    <row r="12" spans="1:20" ht="14.25" customHeight="1" thickTop="1">
      <c r="A12" s="144">
        <f ca="1">A11+TIME(,RAND()*1+(1-0),RAND()*10+10)</f>
        <v>4.0277777777777777E-3</v>
      </c>
      <c r="B12" s="140">
        <f t="shared" si="0"/>
        <v>12.363750000000001</v>
      </c>
      <c r="C12" s="20">
        <v>175</v>
      </c>
      <c r="D12" s="149">
        <v>0.82</v>
      </c>
      <c r="E12" s="22">
        <v>0.56999999999999995</v>
      </c>
      <c r="F12" s="150">
        <f t="shared" si="1"/>
        <v>0.69499999999999995</v>
      </c>
      <c r="G12" s="23">
        <f t="shared" si="3"/>
        <v>0.69499999999999995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0.66999999999999993</v>
      </c>
      <c r="T12" s="133">
        <f t="shared" si="2"/>
        <v>0.79499999999999993</v>
      </c>
    </row>
    <row r="13" spans="1:20" ht="14.25" customHeight="1">
      <c r="A13" s="144">
        <f ca="1">A12+TIME(,RAND()*1+(1-0),RAND()*10+10)</f>
        <v>4.8958333333333336E-3</v>
      </c>
      <c r="B13" s="140">
        <f t="shared" si="0"/>
        <v>14.836500000000001</v>
      </c>
      <c r="C13" s="20">
        <v>210</v>
      </c>
      <c r="D13" s="149">
        <v>0.99</v>
      </c>
      <c r="E13" s="22">
        <v>0.91</v>
      </c>
      <c r="F13" s="150">
        <f t="shared" si="1"/>
        <v>0.95</v>
      </c>
      <c r="G13" s="23">
        <f t="shared" si="3"/>
        <v>0.95</v>
      </c>
      <c r="H13" s="217" t="s">
        <v>16</v>
      </c>
      <c r="I13" s="218"/>
      <c r="J13" s="219" t="s">
        <v>23</v>
      </c>
      <c r="K13" s="30">
        <v>458</v>
      </c>
      <c r="L13" s="25">
        <f>M10</f>
        <v>458</v>
      </c>
      <c r="M13" s="26">
        <f>L13</f>
        <v>458</v>
      </c>
      <c r="N13" s="2"/>
      <c r="P13" s="3">
        <v>0.1</v>
      </c>
      <c r="Q13" s="3">
        <v>0.1</v>
      </c>
      <c r="S13" s="133">
        <f t="shared" si="2"/>
        <v>1.01</v>
      </c>
      <c r="T13" s="133">
        <f t="shared" si="2"/>
        <v>1.05</v>
      </c>
    </row>
    <row r="14" spans="1:20" ht="14.25" customHeight="1" thickBot="1">
      <c r="A14" s="144">
        <f ca="1">A13+TIME(,RAND()*1+(1-0),RAND()*10+10)</f>
        <v>5.7523148148148151E-3</v>
      </c>
      <c r="B14" s="140">
        <f t="shared" si="0"/>
        <v>17.309250000000002</v>
      </c>
      <c r="C14" s="20">
        <v>245</v>
      </c>
      <c r="D14" s="149">
        <v>1.04</v>
      </c>
      <c r="E14" s="22">
        <v>1.1499999999999999</v>
      </c>
      <c r="F14" s="150">
        <f t="shared" si="1"/>
        <v>1.095</v>
      </c>
      <c r="G14" s="23">
        <f t="shared" si="3"/>
        <v>1.095</v>
      </c>
      <c r="H14" s="217"/>
      <c r="I14" s="218"/>
      <c r="J14" s="219"/>
      <c r="K14" s="17">
        <f>K13/2.5</f>
        <v>183.2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1.25</v>
      </c>
      <c r="T14" s="133">
        <f t="shared" si="2"/>
        <v>1.1950000000000001</v>
      </c>
    </row>
    <row r="15" spans="1:20" ht="14.25" customHeight="1" thickTop="1" thickBot="1">
      <c r="A15" s="144">
        <f ca="1">A14+TIME(,RAND()*1+(1-0),RAND()*10+10)</f>
        <v>6.5972222222222222E-3</v>
      </c>
      <c r="B15" s="140">
        <f t="shared" si="0"/>
        <v>19.782</v>
      </c>
      <c r="C15" s="20">
        <v>280</v>
      </c>
      <c r="D15" s="149">
        <v>1.33</v>
      </c>
      <c r="E15" s="22">
        <v>1.48</v>
      </c>
      <c r="F15" s="150">
        <f t="shared" si="1"/>
        <v>1.405</v>
      </c>
      <c r="G15" s="23">
        <f t="shared" si="3"/>
        <v>1.405</v>
      </c>
      <c r="H15" s="217" t="s">
        <v>16</v>
      </c>
      <c r="I15" s="218"/>
      <c r="J15" s="220" t="s">
        <v>27</v>
      </c>
      <c r="K15" s="2">
        <f>ROUND(K14,1)*1.3</f>
        <v>238.16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1.58</v>
      </c>
      <c r="T15" s="133">
        <f t="shared" si="2"/>
        <v>1.5050000000000001</v>
      </c>
    </row>
    <row r="16" spans="1:20" ht="14.25" customHeight="1">
      <c r="A16" s="144">
        <f ca="1">A15+TIME(,RAND()*1+(1-0),RAND()*10+10)</f>
        <v>7.4305555555555557E-3</v>
      </c>
      <c r="B16" s="140">
        <f t="shared" si="0"/>
        <v>22.254750000000001</v>
      </c>
      <c r="C16" s="20">
        <v>315</v>
      </c>
      <c r="D16" s="149">
        <v>1.67</v>
      </c>
      <c r="E16" s="22">
        <v>1.57</v>
      </c>
      <c r="F16" s="150">
        <f t="shared" si="1"/>
        <v>1.62</v>
      </c>
      <c r="G16" s="23">
        <f t="shared" si="3"/>
        <v>1.62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8.2523148148148148E-3</v>
      </c>
      <c r="B17" s="140">
        <f t="shared" si="0"/>
        <v>24.727500000000003</v>
      </c>
      <c r="C17" s="20">
        <v>350</v>
      </c>
      <c r="D17" s="149">
        <v>1.98</v>
      </c>
      <c r="E17" s="22">
        <v>1.83</v>
      </c>
      <c r="F17" s="150">
        <f t="shared" si="1"/>
        <v>1.905</v>
      </c>
      <c r="G17" s="23">
        <f t="shared" si="3"/>
        <v>1.905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9.1550925925925931E-3</v>
      </c>
      <c r="B18" s="140">
        <f t="shared" si="0"/>
        <v>27.20025</v>
      </c>
      <c r="C18" s="20">
        <v>385</v>
      </c>
      <c r="D18" s="149">
        <v>2.1</v>
      </c>
      <c r="E18" s="22">
        <v>1.91</v>
      </c>
      <c r="F18" s="150">
        <f t="shared" si="1"/>
        <v>2.0049999999999999</v>
      </c>
      <c r="G18" s="23">
        <f t="shared" si="3"/>
        <v>2.0049999999999999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1.0034722222222223E-2</v>
      </c>
      <c r="B19" s="140">
        <f t="shared" si="0"/>
        <v>29.673000000000002</v>
      </c>
      <c r="C19" s="20">
        <v>420</v>
      </c>
      <c r="D19" s="149">
        <v>2.27</v>
      </c>
      <c r="E19" s="22">
        <v>2.2000000000000002</v>
      </c>
      <c r="F19" s="150">
        <f t="shared" si="1"/>
        <v>2.2350000000000003</v>
      </c>
      <c r="G19" s="23">
        <f t="shared" si="3"/>
        <v>2.2350000000000003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1.0914351851851852E-2</v>
      </c>
      <c r="B20" s="140">
        <f t="shared" si="0"/>
        <v>32.14575</v>
      </c>
      <c r="C20" s="20">
        <v>455</v>
      </c>
      <c r="D20" s="149">
        <v>2.2799999999999998</v>
      </c>
      <c r="E20" s="22">
        <v>2.54</v>
      </c>
      <c r="F20" s="150">
        <f t="shared" si="1"/>
        <v>2.41</v>
      </c>
      <c r="G20" s="23">
        <f t="shared" si="3"/>
        <v>2.41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1.1747685185185186E-2</v>
      </c>
      <c r="B21" s="140">
        <f t="shared" si="0"/>
        <v>34.618500000000004</v>
      </c>
      <c r="C21" s="20">
        <v>490</v>
      </c>
      <c r="D21" s="149">
        <v>2.3199999999999998</v>
      </c>
      <c r="E21" s="22">
        <v>2.74</v>
      </c>
      <c r="F21" s="150">
        <f t="shared" si="1"/>
        <v>2.5300000000000002</v>
      </c>
      <c r="G21" s="23">
        <f t="shared" si="3"/>
        <v>2.5300000000000002</v>
      </c>
      <c r="H21" s="204" t="str">
        <f>"K30  = "&amp;ROUND(K13,1)&amp;"÷2.5"</f>
        <v>K30  = 458÷2.5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1.2569444444444446E-2</v>
      </c>
      <c r="B22" s="140">
        <f t="shared" ref="B22" si="5">C22*0.07065</f>
        <v>37.091250000000002</v>
      </c>
      <c r="C22" s="20">
        <v>525</v>
      </c>
      <c r="D22" s="149">
        <v>2.37</v>
      </c>
      <c r="E22" s="22">
        <v>2.85</v>
      </c>
      <c r="F22" s="150">
        <f t="shared" ref="F22" si="6">IFERROR((D22+E22)/2," ")</f>
        <v>2.6100000000000003</v>
      </c>
      <c r="G22" s="23">
        <f t="shared" ref="G22" si="7">F22-$F$7</f>
        <v>2.6100000000000003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183.2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183.2×1.3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238.16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183.2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1832-104B-4A0B-AFAB-32B56D40A0EE}">
  <dimension ref="A1:T66"/>
  <sheetViews>
    <sheetView view="pageBreakPreview" topLeftCell="A10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List!B26</f>
        <v>46170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List!A26</f>
        <v>23</v>
      </c>
      <c r="C3" s="253"/>
      <c r="D3" s="253"/>
      <c r="E3" s="253"/>
      <c r="F3" s="45" t="s">
        <v>34</v>
      </c>
      <c r="G3" s="281" t="str">
        <f>List!C26</f>
        <v>중로(집) 3-16 (No.36 ~ No.41) 노체 11단(33층)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8.4490740740740739E-4</v>
      </c>
      <c r="B8" s="140">
        <f>C8*0.07065</f>
        <v>2.47275</v>
      </c>
      <c r="C8" s="20">
        <v>35</v>
      </c>
      <c r="D8" s="149">
        <v>0.11</v>
      </c>
      <c r="E8" s="22">
        <v>0.21</v>
      </c>
      <c r="F8" s="150">
        <f>IFERROR((D8+E8)/2," ")</f>
        <v>0.16</v>
      </c>
      <c r="G8" s="23">
        <f>F8-F7</f>
        <v>0.16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0.31</v>
      </c>
      <c r="T8" s="133">
        <f>F8+Q8</f>
        <v>0.26</v>
      </c>
    </row>
    <row r="9" spans="1:20" ht="14.25" customHeight="1" thickTop="1">
      <c r="A9" s="144">
        <f ca="1">A8+TIME(,RAND()*1+(1-0),RAND()*10+10)</f>
        <v>1.701388888888889E-3</v>
      </c>
      <c r="B9" s="140">
        <f t="shared" ref="B9:B21" si="0">C9*0.07065</f>
        <v>4.9455</v>
      </c>
      <c r="C9" s="20">
        <v>70</v>
      </c>
      <c r="D9" s="149">
        <v>0.34</v>
      </c>
      <c r="E9" s="22">
        <v>0.49</v>
      </c>
      <c r="F9" s="150">
        <f t="shared" ref="F9:F21" si="1">IFERROR((D9+E9)/2," ")</f>
        <v>0.41500000000000004</v>
      </c>
      <c r="G9" s="23">
        <f>F9-$F$7</f>
        <v>0.41500000000000004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0.59</v>
      </c>
      <c r="T9" s="133">
        <f t="shared" si="2"/>
        <v>0.51500000000000001</v>
      </c>
    </row>
    <row r="10" spans="1:20" ht="14.25" customHeight="1">
      <c r="A10" s="144">
        <f ca="1">A9+TIME(,RAND()*1+(1-0),RAND()*10+5)</f>
        <v>2.5462962962962965E-3</v>
      </c>
      <c r="B10" s="140">
        <f t="shared" si="0"/>
        <v>7.4182500000000005</v>
      </c>
      <c r="C10" s="20">
        <v>105</v>
      </c>
      <c r="D10" s="149">
        <v>0.39</v>
      </c>
      <c r="E10" s="22">
        <v>0.66</v>
      </c>
      <c r="F10" s="150">
        <f t="shared" si="1"/>
        <v>0.52500000000000002</v>
      </c>
      <c r="G10" s="23">
        <f t="shared" ref="G10:G21" si="3">F10-$F$7</f>
        <v>0.52500000000000002</v>
      </c>
      <c r="H10" s="217"/>
      <c r="I10" s="218"/>
      <c r="J10" s="219"/>
      <c r="K10" s="24" t="s">
        <v>15</v>
      </c>
      <c r="L10" s="25">
        <v>0</v>
      </c>
      <c r="M10" s="62">
        <f>K13</f>
        <v>453</v>
      </c>
      <c r="N10" s="2"/>
      <c r="P10" s="3">
        <v>0.1</v>
      </c>
      <c r="Q10" s="3">
        <v>0.1</v>
      </c>
      <c r="S10" s="133">
        <f t="shared" si="2"/>
        <v>0.76</v>
      </c>
      <c r="T10" s="133">
        <f t="shared" si="2"/>
        <v>0.625</v>
      </c>
    </row>
    <row r="11" spans="1:20" ht="14.25" customHeight="1" thickBot="1">
      <c r="A11" s="144">
        <f ca="1">A10+TIME(,RAND()*1+(1-0),RAND()*10+5)</f>
        <v>3.3449074074074076E-3</v>
      </c>
      <c r="B11" s="140">
        <f t="shared" si="0"/>
        <v>9.891</v>
      </c>
      <c r="C11" s="20">
        <v>140</v>
      </c>
      <c r="D11" s="149">
        <v>0.47</v>
      </c>
      <c r="E11" s="22">
        <v>0.94</v>
      </c>
      <c r="F11" s="150">
        <f t="shared" si="1"/>
        <v>0.70499999999999996</v>
      </c>
      <c r="G11" s="23">
        <f t="shared" si="3"/>
        <v>0.70499999999999996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1.04</v>
      </c>
      <c r="T11" s="133">
        <f t="shared" si="2"/>
        <v>0.80499999999999994</v>
      </c>
    </row>
    <row r="12" spans="1:20" ht="14.25" customHeight="1" thickTop="1">
      <c r="A12" s="144">
        <f ca="1">A11+TIME(,RAND()*1+(1-0),RAND()*10+10)</f>
        <v>4.2013888888888891E-3</v>
      </c>
      <c r="B12" s="140">
        <f t="shared" si="0"/>
        <v>12.363750000000001</v>
      </c>
      <c r="C12" s="20">
        <v>175</v>
      </c>
      <c r="D12" s="149">
        <v>0.69</v>
      </c>
      <c r="E12" s="22">
        <v>1.18</v>
      </c>
      <c r="F12" s="150">
        <f t="shared" si="1"/>
        <v>0.93499999999999994</v>
      </c>
      <c r="G12" s="23">
        <f t="shared" si="3"/>
        <v>0.93499999999999994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1.28</v>
      </c>
      <c r="T12" s="133">
        <f t="shared" si="2"/>
        <v>1.0349999999999999</v>
      </c>
    </row>
    <row r="13" spans="1:20" ht="14.25" customHeight="1">
      <c r="A13" s="144">
        <f ca="1">A12+TIME(,RAND()*1+(1-0),RAND()*10+10)</f>
        <v>5.0115740740740745E-3</v>
      </c>
      <c r="B13" s="140">
        <f t="shared" si="0"/>
        <v>14.836500000000001</v>
      </c>
      <c r="C13" s="20">
        <v>210</v>
      </c>
      <c r="D13" s="149">
        <v>0.91</v>
      </c>
      <c r="E13" s="22">
        <v>1.25</v>
      </c>
      <c r="F13" s="150">
        <f t="shared" si="1"/>
        <v>1.08</v>
      </c>
      <c r="G13" s="23">
        <f t="shared" si="3"/>
        <v>1.08</v>
      </c>
      <c r="H13" s="217" t="s">
        <v>16</v>
      </c>
      <c r="I13" s="218"/>
      <c r="J13" s="219" t="s">
        <v>23</v>
      </c>
      <c r="K13" s="30">
        <v>453</v>
      </c>
      <c r="L13" s="25">
        <f>M10</f>
        <v>453</v>
      </c>
      <c r="M13" s="26">
        <f>L13</f>
        <v>453</v>
      </c>
      <c r="N13" s="2"/>
      <c r="P13" s="3">
        <v>0.1</v>
      </c>
      <c r="Q13" s="3">
        <v>0.1</v>
      </c>
      <c r="S13" s="133">
        <f t="shared" si="2"/>
        <v>1.35</v>
      </c>
      <c r="T13" s="133">
        <f t="shared" si="2"/>
        <v>1.1800000000000002</v>
      </c>
    </row>
    <row r="14" spans="1:20" ht="14.25" customHeight="1" thickBot="1">
      <c r="A14" s="144">
        <f ca="1">A13+TIME(,RAND()*1+(1-0),RAND()*10+10)</f>
        <v>5.8912037037037041E-3</v>
      </c>
      <c r="B14" s="140">
        <f t="shared" si="0"/>
        <v>17.309250000000002</v>
      </c>
      <c r="C14" s="20">
        <v>245</v>
      </c>
      <c r="D14" s="149">
        <v>1.19</v>
      </c>
      <c r="E14" s="22">
        <v>1.34</v>
      </c>
      <c r="F14" s="150">
        <f t="shared" si="1"/>
        <v>1.2650000000000001</v>
      </c>
      <c r="G14" s="23">
        <f t="shared" si="3"/>
        <v>1.2650000000000001</v>
      </c>
      <c r="H14" s="217"/>
      <c r="I14" s="218"/>
      <c r="J14" s="219"/>
      <c r="K14" s="17">
        <f>K13/2.5</f>
        <v>181.2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1.4400000000000002</v>
      </c>
      <c r="T14" s="133">
        <f t="shared" si="2"/>
        <v>1.3650000000000002</v>
      </c>
    </row>
    <row r="15" spans="1:20" ht="14.25" customHeight="1" thickTop="1" thickBot="1">
      <c r="A15" s="144">
        <f ca="1">A14+TIME(,RAND()*1+(1-0),RAND()*10+10)</f>
        <v>6.7013888888888895E-3</v>
      </c>
      <c r="B15" s="140">
        <f t="shared" si="0"/>
        <v>19.782</v>
      </c>
      <c r="C15" s="20">
        <v>280</v>
      </c>
      <c r="D15" s="149">
        <v>1.45</v>
      </c>
      <c r="E15" s="22">
        <v>1.49</v>
      </c>
      <c r="F15" s="150">
        <f t="shared" si="1"/>
        <v>1.47</v>
      </c>
      <c r="G15" s="23">
        <f t="shared" si="3"/>
        <v>1.47</v>
      </c>
      <c r="H15" s="217" t="s">
        <v>16</v>
      </c>
      <c r="I15" s="218"/>
      <c r="J15" s="220" t="s">
        <v>27</v>
      </c>
      <c r="K15" s="2">
        <f>ROUND(K14,1)*1.3</f>
        <v>235.56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1.59</v>
      </c>
      <c r="T15" s="133">
        <f t="shared" si="2"/>
        <v>1.57</v>
      </c>
    </row>
    <row r="16" spans="1:20" ht="14.25" customHeight="1">
      <c r="A16" s="144">
        <f ca="1">A15+TIME(,RAND()*1+(1-0),RAND()*10+10)</f>
        <v>7.5231481481481486E-3</v>
      </c>
      <c r="B16" s="140">
        <f t="shared" si="0"/>
        <v>22.254750000000001</v>
      </c>
      <c r="C16" s="20">
        <v>315</v>
      </c>
      <c r="D16" s="149">
        <v>1.5</v>
      </c>
      <c r="E16" s="22">
        <v>1.78</v>
      </c>
      <c r="F16" s="150">
        <f t="shared" si="1"/>
        <v>1.6400000000000001</v>
      </c>
      <c r="G16" s="23">
        <f t="shared" si="3"/>
        <v>1.6400000000000001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8.3680555555555557E-3</v>
      </c>
      <c r="B17" s="140">
        <f t="shared" si="0"/>
        <v>24.727500000000003</v>
      </c>
      <c r="C17" s="20">
        <v>350</v>
      </c>
      <c r="D17" s="149">
        <v>1.59</v>
      </c>
      <c r="E17" s="22">
        <v>2.12</v>
      </c>
      <c r="F17" s="150">
        <f t="shared" si="1"/>
        <v>1.855</v>
      </c>
      <c r="G17" s="23">
        <f t="shared" si="3"/>
        <v>1.855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9.1782407407407403E-3</v>
      </c>
      <c r="B18" s="140">
        <f t="shared" si="0"/>
        <v>27.20025</v>
      </c>
      <c r="C18" s="20">
        <v>385</v>
      </c>
      <c r="D18" s="149">
        <v>1.67</v>
      </c>
      <c r="E18" s="22">
        <v>2.2599999999999998</v>
      </c>
      <c r="F18" s="150">
        <f t="shared" si="1"/>
        <v>1.9649999999999999</v>
      </c>
      <c r="G18" s="23">
        <f t="shared" si="3"/>
        <v>1.9649999999999999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1.0011574074074074E-2</v>
      </c>
      <c r="B19" s="140">
        <f t="shared" si="0"/>
        <v>29.673000000000002</v>
      </c>
      <c r="C19" s="20">
        <v>420</v>
      </c>
      <c r="D19" s="149">
        <v>1.91</v>
      </c>
      <c r="E19" s="22">
        <v>2.56</v>
      </c>
      <c r="F19" s="150">
        <f t="shared" si="1"/>
        <v>2.2349999999999999</v>
      </c>
      <c r="G19" s="23">
        <f t="shared" si="3"/>
        <v>2.2349999999999999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1.0914351851851852E-2</v>
      </c>
      <c r="B20" s="140">
        <f t="shared" si="0"/>
        <v>32.14575</v>
      </c>
      <c r="C20" s="20">
        <v>455</v>
      </c>
      <c r="D20" s="149">
        <v>2.17</v>
      </c>
      <c r="E20" s="22">
        <v>2.6</v>
      </c>
      <c r="F20" s="150">
        <f t="shared" si="1"/>
        <v>2.3849999999999998</v>
      </c>
      <c r="G20" s="23">
        <f t="shared" si="3"/>
        <v>2.3849999999999998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1.1736111111111112E-2</v>
      </c>
      <c r="B21" s="140">
        <f t="shared" si="0"/>
        <v>34.618500000000004</v>
      </c>
      <c r="C21" s="20">
        <v>490</v>
      </c>
      <c r="D21" s="149">
        <v>2.4</v>
      </c>
      <c r="E21" s="22">
        <v>2.84</v>
      </c>
      <c r="F21" s="150">
        <f t="shared" si="1"/>
        <v>2.62</v>
      </c>
      <c r="G21" s="23">
        <f t="shared" si="3"/>
        <v>2.62</v>
      </c>
      <c r="H21" s="204" t="str">
        <f>"K30  = "&amp;ROUND(K13,1)&amp;"÷2.5"</f>
        <v>K30  = 453÷2.5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1.2604166666666668E-2</v>
      </c>
      <c r="B22" s="140">
        <f t="shared" ref="B22" si="5">C22*0.07065</f>
        <v>37.091250000000002</v>
      </c>
      <c r="C22" s="20">
        <v>525</v>
      </c>
      <c r="D22" s="149">
        <v>2.6</v>
      </c>
      <c r="E22" s="22">
        <v>3.39</v>
      </c>
      <c r="F22" s="150">
        <f t="shared" ref="F22" si="6">IFERROR((D22+E22)/2," ")</f>
        <v>2.9950000000000001</v>
      </c>
      <c r="G22" s="23">
        <f t="shared" ref="G22" si="7">F22-$F$7</f>
        <v>2.9950000000000001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181.2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181.2×1.3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235.56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181.2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749B-5009-4DDE-AE7C-AB0988AC1794}">
  <dimension ref="A1:T66"/>
  <sheetViews>
    <sheetView view="pageBreakPreview" topLeftCell="A13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List!B25</f>
        <v>46170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List!A25</f>
        <v>22</v>
      </c>
      <c r="C3" s="253"/>
      <c r="D3" s="253"/>
      <c r="E3" s="253"/>
      <c r="F3" s="45" t="s">
        <v>34</v>
      </c>
      <c r="G3" s="283" t="str">
        <f>List!C25</f>
        <v>중로(집) 3-12 (No.17 ~ No.20) 노체 2단(6층)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8.4490740740740739E-4</v>
      </c>
      <c r="B8" s="140">
        <f>C8*0.07065</f>
        <v>2.47275</v>
      </c>
      <c r="C8" s="20">
        <v>35</v>
      </c>
      <c r="D8" s="149">
        <v>0.06</v>
      </c>
      <c r="E8" s="22">
        <v>0.36</v>
      </c>
      <c r="F8" s="150">
        <f>IFERROR((D8+E8)/2," ")</f>
        <v>0.21</v>
      </c>
      <c r="G8" s="23">
        <f>F8-F7</f>
        <v>0.21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0.45999999999999996</v>
      </c>
      <c r="T8" s="133">
        <f>F8+Q8</f>
        <v>0.31</v>
      </c>
    </row>
    <row r="9" spans="1:20" ht="14.25" customHeight="1" thickTop="1">
      <c r="A9" s="144">
        <f ca="1">A8+TIME(,RAND()*1+(1-0),RAND()*10+10)</f>
        <v>1.6550925925925926E-3</v>
      </c>
      <c r="B9" s="140">
        <f t="shared" ref="B9:B21" si="0">C9*0.07065</f>
        <v>4.9455</v>
      </c>
      <c r="C9" s="20">
        <v>70</v>
      </c>
      <c r="D9" s="149">
        <v>0.38</v>
      </c>
      <c r="E9" s="22">
        <v>0.73</v>
      </c>
      <c r="F9" s="150">
        <f t="shared" ref="F9:F21" si="1">IFERROR((D9+E9)/2," ")</f>
        <v>0.55499999999999994</v>
      </c>
      <c r="G9" s="23">
        <f>F9-$F$7</f>
        <v>0.55499999999999994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0.83</v>
      </c>
      <c r="T9" s="133">
        <f t="shared" si="2"/>
        <v>0.65499999999999992</v>
      </c>
    </row>
    <row r="10" spans="1:20" ht="14.25" customHeight="1">
      <c r="A10" s="144">
        <f ca="1">A9+TIME(,RAND()*1+(1-0),RAND()*10+5)</f>
        <v>2.5000000000000001E-3</v>
      </c>
      <c r="B10" s="140">
        <f t="shared" si="0"/>
        <v>7.4182500000000005</v>
      </c>
      <c r="C10" s="20">
        <v>105</v>
      </c>
      <c r="D10" s="149">
        <v>0.49</v>
      </c>
      <c r="E10" s="22">
        <v>1.1499999999999999</v>
      </c>
      <c r="F10" s="150">
        <f t="shared" si="1"/>
        <v>0.82</v>
      </c>
      <c r="G10" s="23">
        <f t="shared" ref="G10:G21" si="3">F10-$F$7</f>
        <v>0.82</v>
      </c>
      <c r="H10" s="217"/>
      <c r="I10" s="218"/>
      <c r="J10" s="219"/>
      <c r="K10" s="24" t="s">
        <v>15</v>
      </c>
      <c r="L10" s="25">
        <v>0</v>
      </c>
      <c r="M10" s="62">
        <f>K13</f>
        <v>420</v>
      </c>
      <c r="N10" s="2"/>
      <c r="P10" s="3">
        <v>0.1</v>
      </c>
      <c r="Q10" s="3">
        <v>0.1</v>
      </c>
      <c r="S10" s="133">
        <f t="shared" si="2"/>
        <v>1.25</v>
      </c>
      <c r="T10" s="133">
        <f t="shared" si="2"/>
        <v>0.91999999999999993</v>
      </c>
    </row>
    <row r="11" spans="1:20" ht="14.25" customHeight="1" thickBot="1">
      <c r="A11" s="144">
        <f ca="1">A10+TIME(,RAND()*1+(1-0),RAND()*10+5)</f>
        <v>3.3564814814814816E-3</v>
      </c>
      <c r="B11" s="140">
        <f t="shared" si="0"/>
        <v>9.891</v>
      </c>
      <c r="C11" s="20">
        <v>140</v>
      </c>
      <c r="D11" s="149">
        <v>0.9</v>
      </c>
      <c r="E11" s="22">
        <v>1.2</v>
      </c>
      <c r="F11" s="150">
        <f t="shared" si="1"/>
        <v>1.05</v>
      </c>
      <c r="G11" s="23">
        <f t="shared" si="3"/>
        <v>1.05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1.3</v>
      </c>
      <c r="T11" s="133">
        <f t="shared" si="2"/>
        <v>1.1500000000000001</v>
      </c>
    </row>
    <row r="12" spans="1:20" ht="14.25" customHeight="1" thickTop="1">
      <c r="A12" s="144">
        <f ca="1">A11+TIME(,RAND()*1+(1-0),RAND()*10+10)</f>
        <v>4.2476851851851851E-3</v>
      </c>
      <c r="B12" s="140">
        <f t="shared" si="0"/>
        <v>12.363750000000001</v>
      </c>
      <c r="C12" s="20">
        <v>175</v>
      </c>
      <c r="D12" s="149">
        <v>0.93</v>
      </c>
      <c r="E12" s="22">
        <v>1.22</v>
      </c>
      <c r="F12" s="150">
        <f t="shared" si="1"/>
        <v>1.075</v>
      </c>
      <c r="G12" s="23">
        <f t="shared" si="3"/>
        <v>1.075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1.32</v>
      </c>
      <c r="T12" s="133">
        <f t="shared" si="2"/>
        <v>1.175</v>
      </c>
    </row>
    <row r="13" spans="1:20" ht="14.25" customHeight="1">
      <c r="A13" s="144">
        <f ca="1">A12+TIME(,RAND()*1+(1-0),RAND()*10+10)</f>
        <v>5.0694444444444441E-3</v>
      </c>
      <c r="B13" s="140">
        <f t="shared" si="0"/>
        <v>14.836500000000001</v>
      </c>
      <c r="C13" s="20">
        <v>210</v>
      </c>
      <c r="D13" s="149">
        <v>1.1299999999999999</v>
      </c>
      <c r="E13" s="22">
        <v>1.3</v>
      </c>
      <c r="F13" s="150">
        <f t="shared" si="1"/>
        <v>1.2149999999999999</v>
      </c>
      <c r="G13" s="23">
        <f t="shared" si="3"/>
        <v>1.2149999999999999</v>
      </c>
      <c r="H13" s="217" t="s">
        <v>16</v>
      </c>
      <c r="I13" s="218"/>
      <c r="J13" s="219" t="s">
        <v>23</v>
      </c>
      <c r="K13" s="30">
        <v>420</v>
      </c>
      <c r="L13" s="25">
        <f>M10</f>
        <v>420</v>
      </c>
      <c r="M13" s="26">
        <f>L13</f>
        <v>420</v>
      </c>
      <c r="N13" s="2"/>
      <c r="P13" s="3">
        <v>0.1</v>
      </c>
      <c r="Q13" s="3">
        <v>0.1</v>
      </c>
      <c r="S13" s="133">
        <f t="shared" si="2"/>
        <v>1.4000000000000001</v>
      </c>
      <c r="T13" s="133">
        <f t="shared" si="2"/>
        <v>1.3149999999999999</v>
      </c>
    </row>
    <row r="14" spans="1:20" ht="14.25" customHeight="1" thickBot="1">
      <c r="A14" s="144">
        <f ca="1">A13+TIME(,RAND()*1+(1-0),RAND()*10+10)</f>
        <v>5.8796296296296296E-3</v>
      </c>
      <c r="B14" s="140">
        <f t="shared" si="0"/>
        <v>17.309250000000002</v>
      </c>
      <c r="C14" s="20">
        <v>245</v>
      </c>
      <c r="D14" s="149">
        <v>1.43</v>
      </c>
      <c r="E14" s="22">
        <v>1.38</v>
      </c>
      <c r="F14" s="150">
        <f t="shared" si="1"/>
        <v>1.4049999999999998</v>
      </c>
      <c r="G14" s="23">
        <f t="shared" si="3"/>
        <v>1.4049999999999998</v>
      </c>
      <c r="H14" s="217"/>
      <c r="I14" s="218"/>
      <c r="J14" s="219"/>
      <c r="K14" s="17">
        <f>K13/2.5</f>
        <v>168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1.48</v>
      </c>
      <c r="T14" s="133">
        <f t="shared" si="2"/>
        <v>1.5049999999999999</v>
      </c>
    </row>
    <row r="15" spans="1:20" ht="14.25" customHeight="1" thickTop="1" thickBot="1">
      <c r="A15" s="144">
        <f ca="1">A14+TIME(,RAND()*1+(1-0),RAND()*10+10)</f>
        <v>6.7824074074074071E-3</v>
      </c>
      <c r="B15" s="140">
        <f t="shared" si="0"/>
        <v>19.782</v>
      </c>
      <c r="C15" s="20">
        <v>280</v>
      </c>
      <c r="D15" s="149">
        <v>1.62</v>
      </c>
      <c r="E15" s="22">
        <v>1.71</v>
      </c>
      <c r="F15" s="150">
        <f t="shared" si="1"/>
        <v>1.665</v>
      </c>
      <c r="G15" s="23">
        <f t="shared" si="3"/>
        <v>1.665</v>
      </c>
      <c r="H15" s="217" t="s">
        <v>16</v>
      </c>
      <c r="I15" s="218"/>
      <c r="J15" s="220" t="s">
        <v>27</v>
      </c>
      <c r="K15" s="2">
        <f>ROUND(K14,1)*1.3</f>
        <v>218.4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1.81</v>
      </c>
      <c r="T15" s="133">
        <f t="shared" si="2"/>
        <v>1.7650000000000001</v>
      </c>
    </row>
    <row r="16" spans="1:20" ht="14.25" customHeight="1">
      <c r="A16" s="144">
        <f ca="1">A15+TIME(,RAND()*1+(1-0),RAND()*10+10)</f>
        <v>7.6851851851851847E-3</v>
      </c>
      <c r="B16" s="140">
        <f t="shared" si="0"/>
        <v>22.254750000000001</v>
      </c>
      <c r="C16" s="20">
        <v>315</v>
      </c>
      <c r="D16" s="149">
        <v>1.73</v>
      </c>
      <c r="E16" s="22">
        <v>1.88</v>
      </c>
      <c r="F16" s="150">
        <f t="shared" si="1"/>
        <v>1.8049999999999999</v>
      </c>
      <c r="G16" s="23">
        <f t="shared" si="3"/>
        <v>1.8049999999999999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8.4953703703703701E-3</v>
      </c>
      <c r="B17" s="140">
        <f t="shared" si="0"/>
        <v>24.727500000000003</v>
      </c>
      <c r="C17" s="20">
        <v>350</v>
      </c>
      <c r="D17" s="149">
        <v>2.0099999999999998</v>
      </c>
      <c r="E17" s="22">
        <v>1.99</v>
      </c>
      <c r="F17" s="150">
        <f t="shared" si="1"/>
        <v>2</v>
      </c>
      <c r="G17" s="23">
        <f t="shared" si="3"/>
        <v>2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9.3402777777777772E-3</v>
      </c>
      <c r="B18" s="140">
        <f t="shared" si="0"/>
        <v>27.20025</v>
      </c>
      <c r="C18" s="20">
        <v>385</v>
      </c>
      <c r="D18" s="149">
        <v>2.13</v>
      </c>
      <c r="E18" s="22">
        <v>2.39</v>
      </c>
      <c r="F18" s="150">
        <f t="shared" si="1"/>
        <v>2.2599999999999998</v>
      </c>
      <c r="G18" s="23">
        <f t="shared" si="3"/>
        <v>2.2599999999999998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1.0185185185185184E-2</v>
      </c>
      <c r="B19" s="140">
        <f t="shared" si="0"/>
        <v>29.673000000000002</v>
      </c>
      <c r="C19" s="20">
        <v>420</v>
      </c>
      <c r="D19" s="149">
        <v>2.44</v>
      </c>
      <c r="E19" s="22">
        <v>2.57</v>
      </c>
      <c r="F19" s="150">
        <f t="shared" si="1"/>
        <v>2.5049999999999999</v>
      </c>
      <c r="G19" s="23">
        <f t="shared" si="3"/>
        <v>2.5049999999999999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1.1087962962962963E-2</v>
      </c>
      <c r="B20" s="140">
        <f t="shared" si="0"/>
        <v>32.14575</v>
      </c>
      <c r="C20" s="20">
        <v>455</v>
      </c>
      <c r="D20" s="149">
        <v>2.6</v>
      </c>
      <c r="E20" s="22">
        <v>2.61</v>
      </c>
      <c r="F20" s="150">
        <f t="shared" si="1"/>
        <v>2.605</v>
      </c>
      <c r="G20" s="23">
        <f t="shared" si="3"/>
        <v>2.605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1.2002314814814815E-2</v>
      </c>
      <c r="B21" s="140">
        <f t="shared" si="0"/>
        <v>34.618500000000004</v>
      </c>
      <c r="C21" s="20">
        <v>490</v>
      </c>
      <c r="D21" s="149">
        <v>2.95</v>
      </c>
      <c r="E21" s="22">
        <v>2.76</v>
      </c>
      <c r="F21" s="150">
        <f t="shared" si="1"/>
        <v>2.855</v>
      </c>
      <c r="G21" s="23">
        <f t="shared" si="3"/>
        <v>2.855</v>
      </c>
      <c r="H21" s="204" t="str">
        <f>"K30  = "&amp;ROUND(K13,1)&amp;"÷2.5"</f>
        <v>K30  = 420÷2.5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218.4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85FC-91C3-4290-994B-03C33F9D7481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List!B24</f>
        <v>46170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List!A24</f>
        <v>21</v>
      </c>
      <c r="C3" s="253"/>
      <c r="D3" s="253"/>
      <c r="E3" s="253"/>
      <c r="F3" s="45" t="s">
        <v>34</v>
      </c>
      <c r="G3" s="283" t="str">
        <f>List!C24</f>
        <v>중로(집) 3-12 (No.17 ~ No.20) 노체 1단(3층)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8.3333333333333339E-4</v>
      </c>
      <c r="B8" s="140">
        <f>C8*0.07065</f>
        <v>2.47275</v>
      </c>
      <c r="C8" s="20">
        <v>35</v>
      </c>
      <c r="D8" s="149">
        <v>0.01</v>
      </c>
      <c r="E8" s="22">
        <v>0.27</v>
      </c>
      <c r="F8" s="150">
        <f>IFERROR((D8+E8)/2," ")</f>
        <v>0.14000000000000001</v>
      </c>
      <c r="G8" s="23">
        <f>F8-F7</f>
        <v>0.14000000000000001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0.37</v>
      </c>
      <c r="T8" s="133">
        <f>F8+Q8</f>
        <v>0.24000000000000002</v>
      </c>
    </row>
    <row r="9" spans="1:20" ht="14.25" customHeight="1" thickTop="1">
      <c r="A9" s="144">
        <f ca="1">A8+TIME(,RAND()*1+(1-0),RAND()*10+10)</f>
        <v>1.689814814814815E-3</v>
      </c>
      <c r="B9" s="140">
        <f t="shared" ref="B9:B21" si="0">C9*0.07065</f>
        <v>4.9455</v>
      </c>
      <c r="C9" s="20">
        <v>70</v>
      </c>
      <c r="D9" s="149">
        <v>0.38</v>
      </c>
      <c r="E9" s="22">
        <v>0.63</v>
      </c>
      <c r="F9" s="150">
        <f t="shared" ref="F9:F21" si="1">IFERROR((D9+E9)/2," ")</f>
        <v>0.505</v>
      </c>
      <c r="G9" s="23">
        <f>F9-$F$7</f>
        <v>0.505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0.73</v>
      </c>
      <c r="T9" s="133">
        <f t="shared" si="2"/>
        <v>0.60499999999999998</v>
      </c>
    </row>
    <row r="10" spans="1:20" ht="14.25" customHeight="1">
      <c r="A10" s="144">
        <f ca="1">A9+TIME(,RAND()*1+(1-0),RAND()*10+5)</f>
        <v>2.44212962962963E-3</v>
      </c>
      <c r="B10" s="140">
        <f t="shared" si="0"/>
        <v>7.4182500000000005</v>
      </c>
      <c r="C10" s="20">
        <v>105</v>
      </c>
      <c r="D10" s="149">
        <v>0.61</v>
      </c>
      <c r="E10" s="22">
        <v>0.77</v>
      </c>
      <c r="F10" s="150">
        <f t="shared" si="1"/>
        <v>0.69</v>
      </c>
      <c r="G10" s="23">
        <f t="shared" ref="G10:G21" si="3">F10-$F$7</f>
        <v>0.69</v>
      </c>
      <c r="H10" s="217"/>
      <c r="I10" s="218"/>
      <c r="J10" s="219"/>
      <c r="K10" s="24" t="s">
        <v>15</v>
      </c>
      <c r="L10" s="25">
        <v>0</v>
      </c>
      <c r="M10" s="62">
        <f>K13</f>
        <v>433</v>
      </c>
      <c r="N10" s="2"/>
      <c r="P10" s="3">
        <v>0.1</v>
      </c>
      <c r="Q10" s="3">
        <v>0.1</v>
      </c>
      <c r="S10" s="133">
        <f t="shared" si="2"/>
        <v>0.87</v>
      </c>
      <c r="T10" s="133">
        <f t="shared" si="2"/>
        <v>0.78999999999999992</v>
      </c>
    </row>
    <row r="11" spans="1:20" ht="14.25" customHeight="1" thickBot="1">
      <c r="A11" s="144">
        <f ca="1">A10+TIME(,RAND()*1+(1-0),RAND()*10+5)</f>
        <v>3.2175925925925931E-3</v>
      </c>
      <c r="B11" s="140">
        <f t="shared" si="0"/>
        <v>9.891</v>
      </c>
      <c r="C11" s="20">
        <v>140</v>
      </c>
      <c r="D11" s="149">
        <v>0.79</v>
      </c>
      <c r="E11" s="22">
        <v>0.97</v>
      </c>
      <c r="F11" s="150">
        <f t="shared" si="1"/>
        <v>0.88</v>
      </c>
      <c r="G11" s="23">
        <f t="shared" si="3"/>
        <v>0.88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1.07</v>
      </c>
      <c r="T11" s="133">
        <f t="shared" si="2"/>
        <v>0.98</v>
      </c>
    </row>
    <row r="12" spans="1:20" ht="14.25" customHeight="1" thickTop="1">
      <c r="A12" s="144">
        <f ca="1">A11+TIME(,RAND()*1+(1-0),RAND()*10+10)</f>
        <v>4.0625000000000001E-3</v>
      </c>
      <c r="B12" s="140">
        <f t="shared" si="0"/>
        <v>12.363750000000001</v>
      </c>
      <c r="C12" s="20">
        <v>175</v>
      </c>
      <c r="D12" s="149">
        <v>1.03</v>
      </c>
      <c r="E12" s="22">
        <v>1.26</v>
      </c>
      <c r="F12" s="150">
        <f t="shared" si="1"/>
        <v>1.145</v>
      </c>
      <c r="G12" s="23">
        <f t="shared" si="3"/>
        <v>1.145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1.36</v>
      </c>
      <c r="T12" s="133">
        <f t="shared" si="2"/>
        <v>1.2450000000000001</v>
      </c>
    </row>
    <row r="13" spans="1:20" ht="14.25" customHeight="1">
      <c r="A13" s="144">
        <f ca="1">A12+TIME(,RAND()*1+(1-0),RAND()*10+10)</f>
        <v>4.9537037037037041E-3</v>
      </c>
      <c r="B13" s="140">
        <f t="shared" si="0"/>
        <v>14.836500000000001</v>
      </c>
      <c r="C13" s="20">
        <v>210</v>
      </c>
      <c r="D13" s="149">
        <v>1.32</v>
      </c>
      <c r="E13" s="22">
        <v>1.33</v>
      </c>
      <c r="F13" s="150">
        <f t="shared" si="1"/>
        <v>1.3250000000000002</v>
      </c>
      <c r="G13" s="23">
        <f t="shared" si="3"/>
        <v>1.3250000000000002</v>
      </c>
      <c r="H13" s="217" t="s">
        <v>16</v>
      </c>
      <c r="I13" s="218"/>
      <c r="J13" s="219" t="s">
        <v>23</v>
      </c>
      <c r="K13" s="30">
        <v>433</v>
      </c>
      <c r="L13" s="25">
        <f>M10</f>
        <v>433</v>
      </c>
      <c r="M13" s="26">
        <f>L13</f>
        <v>433</v>
      </c>
      <c r="N13" s="2"/>
      <c r="P13" s="3">
        <v>0.1</v>
      </c>
      <c r="Q13" s="3">
        <v>0.1</v>
      </c>
      <c r="S13" s="133">
        <f t="shared" si="2"/>
        <v>1.4300000000000002</v>
      </c>
      <c r="T13" s="133">
        <f t="shared" si="2"/>
        <v>1.4250000000000003</v>
      </c>
    </row>
    <row r="14" spans="1:20" ht="14.25" customHeight="1" thickBot="1">
      <c r="A14" s="144">
        <f ca="1">A13+TIME(,RAND()*1+(1-0),RAND()*10+10)</f>
        <v>5.8333333333333336E-3</v>
      </c>
      <c r="B14" s="140">
        <f t="shared" si="0"/>
        <v>17.309250000000002</v>
      </c>
      <c r="C14" s="20">
        <v>245</v>
      </c>
      <c r="D14" s="149">
        <v>1.66</v>
      </c>
      <c r="E14" s="22">
        <v>1.34</v>
      </c>
      <c r="F14" s="150">
        <f t="shared" si="1"/>
        <v>1.5</v>
      </c>
      <c r="G14" s="23">
        <f t="shared" si="3"/>
        <v>1.5</v>
      </c>
      <c r="H14" s="217"/>
      <c r="I14" s="218"/>
      <c r="J14" s="219"/>
      <c r="K14" s="17">
        <f>K13/2.5</f>
        <v>173.2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1.4400000000000002</v>
      </c>
      <c r="T14" s="133">
        <f t="shared" si="2"/>
        <v>1.6</v>
      </c>
    </row>
    <row r="15" spans="1:20" ht="14.25" customHeight="1" thickTop="1" thickBot="1">
      <c r="A15" s="144">
        <f ca="1">A14+TIME(,RAND()*1+(1-0),RAND()*10+10)</f>
        <v>6.7361111111111111E-3</v>
      </c>
      <c r="B15" s="140">
        <f t="shared" si="0"/>
        <v>19.782</v>
      </c>
      <c r="C15" s="20">
        <v>280</v>
      </c>
      <c r="D15" s="149">
        <v>1.82</v>
      </c>
      <c r="E15" s="22">
        <v>1.37</v>
      </c>
      <c r="F15" s="150">
        <f t="shared" si="1"/>
        <v>1.5950000000000002</v>
      </c>
      <c r="G15" s="23">
        <f t="shared" si="3"/>
        <v>1.5950000000000002</v>
      </c>
      <c r="H15" s="217" t="s">
        <v>16</v>
      </c>
      <c r="I15" s="218"/>
      <c r="J15" s="220" t="s">
        <v>27</v>
      </c>
      <c r="K15" s="2">
        <f>ROUND(K14,1)*1.3</f>
        <v>225.16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1.4700000000000002</v>
      </c>
      <c r="T15" s="133">
        <f t="shared" si="2"/>
        <v>1.6950000000000003</v>
      </c>
    </row>
    <row r="16" spans="1:20" ht="14.25" customHeight="1">
      <c r="A16" s="144">
        <f ca="1">A15+TIME(,RAND()*1+(1-0),RAND()*10+10)</f>
        <v>7.5694444444444446E-3</v>
      </c>
      <c r="B16" s="140">
        <f t="shared" si="0"/>
        <v>22.254750000000001</v>
      </c>
      <c r="C16" s="20">
        <v>315</v>
      </c>
      <c r="D16" s="149">
        <v>1.94</v>
      </c>
      <c r="E16" s="22">
        <v>1.54</v>
      </c>
      <c r="F16" s="150">
        <f t="shared" si="1"/>
        <v>1.74</v>
      </c>
      <c r="G16" s="23">
        <f t="shared" si="3"/>
        <v>1.74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8.3912037037037045E-3</v>
      </c>
      <c r="B17" s="140">
        <f t="shared" si="0"/>
        <v>24.727500000000003</v>
      </c>
      <c r="C17" s="20">
        <v>350</v>
      </c>
      <c r="D17" s="149">
        <v>2.12</v>
      </c>
      <c r="E17" s="22">
        <v>1.82</v>
      </c>
      <c r="F17" s="150">
        <f t="shared" si="1"/>
        <v>1.9700000000000002</v>
      </c>
      <c r="G17" s="23">
        <f t="shared" si="3"/>
        <v>1.9700000000000002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9.2361111111111116E-3</v>
      </c>
      <c r="B18" s="140">
        <f t="shared" si="0"/>
        <v>27.20025</v>
      </c>
      <c r="C18" s="20">
        <v>385</v>
      </c>
      <c r="D18" s="149">
        <v>2.44</v>
      </c>
      <c r="E18" s="22">
        <v>2.02</v>
      </c>
      <c r="F18" s="150">
        <f t="shared" si="1"/>
        <v>2.23</v>
      </c>
      <c r="G18" s="23">
        <f t="shared" si="3"/>
        <v>2.23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1.013888888888889E-2</v>
      </c>
      <c r="B19" s="140">
        <f t="shared" si="0"/>
        <v>29.673000000000002</v>
      </c>
      <c r="C19" s="20">
        <v>420</v>
      </c>
      <c r="D19" s="149">
        <v>2.63</v>
      </c>
      <c r="E19" s="22">
        <v>2.19</v>
      </c>
      <c r="F19" s="150">
        <f t="shared" si="1"/>
        <v>2.41</v>
      </c>
      <c r="G19" s="23">
        <f t="shared" si="3"/>
        <v>2.41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1.0949074074074075E-2</v>
      </c>
      <c r="B20" s="140">
        <f t="shared" si="0"/>
        <v>32.14575</v>
      </c>
      <c r="C20" s="20">
        <v>455</v>
      </c>
      <c r="D20" s="149">
        <v>3.05</v>
      </c>
      <c r="E20" s="22">
        <v>2.2400000000000002</v>
      </c>
      <c r="F20" s="150">
        <f t="shared" si="1"/>
        <v>2.645</v>
      </c>
      <c r="G20" s="23">
        <f t="shared" si="3"/>
        <v>2.645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1.1770833333333335E-2</v>
      </c>
      <c r="B21" s="140">
        <f t="shared" si="0"/>
        <v>34.618500000000004</v>
      </c>
      <c r="C21" s="20">
        <v>490</v>
      </c>
      <c r="D21" s="149">
        <v>3.38</v>
      </c>
      <c r="E21" s="22">
        <v>2.35</v>
      </c>
      <c r="F21" s="150">
        <f t="shared" si="1"/>
        <v>2.8650000000000002</v>
      </c>
      <c r="G21" s="23">
        <f t="shared" si="3"/>
        <v>2.8650000000000002</v>
      </c>
      <c r="H21" s="204" t="str">
        <f>"K30  = "&amp;ROUND(K13,1)&amp;"÷2.5"</f>
        <v>K30  = 433÷2.5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173.2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173.2×1.3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225.16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173.2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H13:I14"/>
    <mergeCell ref="J13:J14"/>
    <mergeCell ref="H15:I16"/>
    <mergeCell ref="J15:J16"/>
    <mergeCell ref="L16:L17"/>
    <mergeCell ref="H17:I18"/>
    <mergeCell ref="J17:J18"/>
    <mergeCell ref="H9:I10"/>
    <mergeCell ref="J9:J10"/>
    <mergeCell ref="L9:M9"/>
    <mergeCell ref="H11:I12"/>
    <mergeCell ref="J11:J12"/>
    <mergeCell ref="L12:M12"/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E7B6-7198-4BE9-8631-96C3EFD6F031}">
  <dimension ref="A1:T66"/>
  <sheetViews>
    <sheetView view="pageBreakPreview" zoomScale="115" zoomScaleNormal="100" zoomScaleSheetLayoutView="115" workbookViewId="0">
      <selection activeCell="N24" sqref="N24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List!B23</f>
        <v>46169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List!A23</f>
        <v>20</v>
      </c>
      <c r="C3" s="253"/>
      <c r="D3" s="253"/>
      <c r="E3" s="253"/>
      <c r="F3" s="45" t="s">
        <v>34</v>
      </c>
      <c r="G3" s="281" t="str">
        <f>List!C23</f>
        <v>중로(집) 3-16 (No.36 ~ No.41) 노체 10단(30층)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0.39</v>
      </c>
      <c r="E8" s="22">
        <v>0.26</v>
      </c>
      <c r="F8" s="150">
        <f>IFERROR((D8+E8)/2," ")</f>
        <v>0.32500000000000001</v>
      </c>
      <c r="G8" s="23">
        <f>F8-F7</f>
        <v>0.32500000000000001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0.36</v>
      </c>
      <c r="T8" s="133">
        <f>F8+Q8</f>
        <v>0.42500000000000004</v>
      </c>
    </row>
    <row r="9" spans="1:20" ht="14.25" customHeight="1" thickTop="1">
      <c r="A9" s="144">
        <f ca="1">A8+TIME(,RAND()*1+(1-0),RAND()*10+10)</f>
        <v>1.6550925925925926E-3</v>
      </c>
      <c r="B9" s="140">
        <f t="shared" ref="B9:B21" si="0">C9*0.07065</f>
        <v>4.9455</v>
      </c>
      <c r="C9" s="20">
        <v>70</v>
      </c>
      <c r="D9" s="149">
        <v>0.54</v>
      </c>
      <c r="E9" s="22">
        <v>0.57999999999999996</v>
      </c>
      <c r="F9" s="150">
        <f t="shared" ref="F9:F21" si="1">IFERROR((D9+E9)/2," ")</f>
        <v>0.56000000000000005</v>
      </c>
      <c r="G9" s="23">
        <f>F9-$F$7</f>
        <v>0.56000000000000005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0.67999999999999994</v>
      </c>
      <c r="T9" s="133">
        <f t="shared" si="2"/>
        <v>0.66</v>
      </c>
    </row>
    <row r="10" spans="1:20" ht="14.25" customHeight="1">
      <c r="A10" s="144">
        <f ca="1">A9+TIME(,RAND()*1+(1-0),RAND()*10+5)</f>
        <v>2.488425925925926E-3</v>
      </c>
      <c r="B10" s="140">
        <f t="shared" si="0"/>
        <v>7.4182500000000005</v>
      </c>
      <c r="C10" s="20">
        <v>105</v>
      </c>
      <c r="D10" s="149">
        <v>0.73</v>
      </c>
      <c r="E10" s="22">
        <v>0.82</v>
      </c>
      <c r="F10" s="150">
        <f t="shared" si="1"/>
        <v>0.77499999999999991</v>
      </c>
      <c r="G10" s="23">
        <f t="shared" ref="G10:G21" si="3">F10-$F$7</f>
        <v>0.77499999999999991</v>
      </c>
      <c r="H10" s="217"/>
      <c r="I10" s="218"/>
      <c r="J10" s="219"/>
      <c r="K10" s="24" t="s">
        <v>15</v>
      </c>
      <c r="L10" s="25">
        <v>0</v>
      </c>
      <c r="M10" s="62">
        <f>K13</f>
        <v>406</v>
      </c>
      <c r="N10" s="2"/>
      <c r="P10" s="3">
        <v>0.1</v>
      </c>
      <c r="Q10" s="3">
        <v>0.1</v>
      </c>
      <c r="S10" s="133">
        <f t="shared" si="2"/>
        <v>0.91999999999999993</v>
      </c>
      <c r="T10" s="133">
        <f t="shared" si="2"/>
        <v>0.87499999999999989</v>
      </c>
    </row>
    <row r="11" spans="1:20" ht="14.25" customHeight="1" thickBot="1">
      <c r="A11" s="144">
        <f ca="1">A10+TIME(,RAND()*1+(1-0),RAND()*10+5)</f>
        <v>3.2407407407407411E-3</v>
      </c>
      <c r="B11" s="140">
        <f t="shared" si="0"/>
        <v>9.891</v>
      </c>
      <c r="C11" s="20">
        <v>140</v>
      </c>
      <c r="D11" s="149">
        <v>1.1000000000000001</v>
      </c>
      <c r="E11" s="22">
        <v>0.9</v>
      </c>
      <c r="F11" s="150">
        <f t="shared" si="1"/>
        <v>1</v>
      </c>
      <c r="G11" s="23">
        <f t="shared" si="3"/>
        <v>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</v>
      </c>
      <c r="T11" s="133">
        <f t="shared" si="2"/>
        <v>1.1000000000000001</v>
      </c>
    </row>
    <row r="12" spans="1:20" ht="14.25" customHeight="1" thickTop="1">
      <c r="A12" s="144">
        <f ca="1">A11+TIME(,RAND()*1+(1-0),RAND()*10+10)</f>
        <v>4.1203703703703706E-3</v>
      </c>
      <c r="B12" s="140">
        <f t="shared" si="0"/>
        <v>12.363750000000001</v>
      </c>
      <c r="C12" s="20">
        <v>175</v>
      </c>
      <c r="D12" s="149">
        <v>1.27</v>
      </c>
      <c r="E12" s="22">
        <v>1.1000000000000001</v>
      </c>
      <c r="F12" s="150">
        <f t="shared" si="1"/>
        <v>1.1850000000000001</v>
      </c>
      <c r="G12" s="23">
        <f t="shared" si="3"/>
        <v>1.1850000000000001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1.2000000000000002</v>
      </c>
      <c r="T12" s="133">
        <f t="shared" si="2"/>
        <v>1.2850000000000001</v>
      </c>
    </row>
    <row r="13" spans="1:20" ht="14.25" customHeight="1">
      <c r="A13" s="144">
        <f ca="1">A12+TIME(,RAND()*1+(1-0),RAND()*10+10)</f>
        <v>4.9652777777777777E-3</v>
      </c>
      <c r="B13" s="140">
        <f t="shared" si="0"/>
        <v>14.836500000000001</v>
      </c>
      <c r="C13" s="20">
        <v>210</v>
      </c>
      <c r="D13" s="149">
        <v>1.34</v>
      </c>
      <c r="E13" s="22">
        <v>1.3</v>
      </c>
      <c r="F13" s="150">
        <f t="shared" si="1"/>
        <v>1.32</v>
      </c>
      <c r="G13" s="23">
        <f t="shared" si="3"/>
        <v>1.32</v>
      </c>
      <c r="H13" s="217" t="s">
        <v>16</v>
      </c>
      <c r="I13" s="218"/>
      <c r="J13" s="219" t="s">
        <v>23</v>
      </c>
      <c r="K13" s="30">
        <v>406</v>
      </c>
      <c r="L13" s="25">
        <f>M10</f>
        <v>406</v>
      </c>
      <c r="M13" s="26">
        <f>L13</f>
        <v>406</v>
      </c>
      <c r="N13" s="2"/>
      <c r="P13" s="3">
        <v>0.1</v>
      </c>
      <c r="Q13" s="3">
        <v>0.1</v>
      </c>
      <c r="S13" s="133">
        <f t="shared" si="2"/>
        <v>1.4000000000000001</v>
      </c>
      <c r="T13" s="133">
        <f t="shared" si="2"/>
        <v>1.4200000000000002</v>
      </c>
    </row>
    <row r="14" spans="1:20" ht="14.25" customHeight="1" thickBot="1">
      <c r="A14" s="144">
        <f ca="1">A13+TIME(,RAND()*1+(1-0),RAND()*10+10)</f>
        <v>5.8796296296296296E-3</v>
      </c>
      <c r="B14" s="140">
        <f t="shared" si="0"/>
        <v>17.309250000000002</v>
      </c>
      <c r="C14" s="20">
        <v>245</v>
      </c>
      <c r="D14" s="149">
        <v>1.5</v>
      </c>
      <c r="E14" s="22">
        <v>1.57</v>
      </c>
      <c r="F14" s="150">
        <f t="shared" si="1"/>
        <v>1.5350000000000001</v>
      </c>
      <c r="G14" s="23">
        <f t="shared" si="3"/>
        <v>1.5350000000000001</v>
      </c>
      <c r="H14" s="217"/>
      <c r="I14" s="218"/>
      <c r="J14" s="219"/>
      <c r="K14" s="17">
        <f>K13/2.5</f>
        <v>162.4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1.6700000000000002</v>
      </c>
      <c r="T14" s="133">
        <f t="shared" si="2"/>
        <v>1.6350000000000002</v>
      </c>
    </row>
    <row r="15" spans="1:20" ht="14.25" customHeight="1" thickTop="1" thickBot="1">
      <c r="A15" s="144">
        <f ca="1">A14+TIME(,RAND()*1+(1-0),RAND()*10+10)</f>
        <v>6.7129629629629631E-3</v>
      </c>
      <c r="B15" s="140">
        <f t="shared" si="0"/>
        <v>19.782</v>
      </c>
      <c r="C15" s="20">
        <v>280</v>
      </c>
      <c r="D15" s="149">
        <v>1.58</v>
      </c>
      <c r="E15" s="22">
        <v>1.97</v>
      </c>
      <c r="F15" s="150">
        <f t="shared" si="1"/>
        <v>1.7749999999999999</v>
      </c>
      <c r="G15" s="23">
        <f t="shared" si="3"/>
        <v>1.7749999999999999</v>
      </c>
      <c r="H15" s="217" t="s">
        <v>16</v>
      </c>
      <c r="I15" s="218"/>
      <c r="J15" s="220" t="s">
        <v>27</v>
      </c>
      <c r="K15" s="2">
        <f>ROUND(K14,1)*1.3</f>
        <v>211.12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2.0699999999999998</v>
      </c>
      <c r="T15" s="133">
        <f t="shared" si="2"/>
        <v>1.875</v>
      </c>
    </row>
    <row r="16" spans="1:20" ht="14.25" customHeight="1">
      <c r="A16" s="144">
        <f ca="1">A15+TIME(,RAND()*1+(1-0),RAND()*10+10)</f>
        <v>7.5231481481481486E-3</v>
      </c>
      <c r="B16" s="140">
        <f t="shared" si="0"/>
        <v>22.254750000000001</v>
      </c>
      <c r="C16" s="20">
        <v>315</v>
      </c>
      <c r="D16" s="149">
        <v>1.61</v>
      </c>
      <c r="E16" s="22">
        <v>2.36</v>
      </c>
      <c r="F16" s="150">
        <f t="shared" si="1"/>
        <v>1.9849999999999999</v>
      </c>
      <c r="G16" s="23">
        <f t="shared" si="3"/>
        <v>1.9849999999999999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8.4143518518518517E-3</v>
      </c>
      <c r="B17" s="140">
        <f t="shared" si="0"/>
        <v>24.727500000000003</v>
      </c>
      <c r="C17" s="20">
        <v>350</v>
      </c>
      <c r="D17" s="149">
        <v>1.62</v>
      </c>
      <c r="E17" s="22">
        <v>2.71</v>
      </c>
      <c r="F17" s="150">
        <f t="shared" si="1"/>
        <v>2.165</v>
      </c>
      <c r="G17" s="23">
        <f t="shared" si="3"/>
        <v>2.165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9.2476851851851852E-3</v>
      </c>
      <c r="B18" s="140">
        <f t="shared" si="0"/>
        <v>27.20025</v>
      </c>
      <c r="C18" s="20">
        <v>385</v>
      </c>
      <c r="D18" s="149">
        <v>1.74</v>
      </c>
      <c r="E18" s="22">
        <v>2.9</v>
      </c>
      <c r="F18" s="150">
        <f t="shared" si="1"/>
        <v>2.3199999999999998</v>
      </c>
      <c r="G18" s="23">
        <f t="shared" si="3"/>
        <v>2.3199999999999998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1.0069444444444445E-2</v>
      </c>
      <c r="B19" s="140">
        <f t="shared" si="0"/>
        <v>29.673000000000002</v>
      </c>
      <c r="C19" s="20">
        <v>420</v>
      </c>
      <c r="D19" s="149">
        <v>2.02</v>
      </c>
      <c r="E19" s="22">
        <v>3.21</v>
      </c>
      <c r="F19" s="150">
        <f t="shared" si="1"/>
        <v>2.6150000000000002</v>
      </c>
      <c r="G19" s="23">
        <f t="shared" si="3"/>
        <v>2.6150000000000002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1.087962962962963E-2</v>
      </c>
      <c r="B20" s="140">
        <f t="shared" si="0"/>
        <v>32.14575</v>
      </c>
      <c r="C20" s="20">
        <v>455</v>
      </c>
      <c r="D20" s="149">
        <v>2.37</v>
      </c>
      <c r="E20" s="22">
        <v>3.53</v>
      </c>
      <c r="F20" s="150">
        <f t="shared" si="1"/>
        <v>2.95</v>
      </c>
      <c r="G20" s="23">
        <f t="shared" si="3"/>
        <v>2.95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1.1724537037037037E-2</v>
      </c>
      <c r="B21" s="140">
        <f t="shared" si="0"/>
        <v>34.618500000000004</v>
      </c>
      <c r="C21" s="20">
        <v>490</v>
      </c>
      <c r="D21" s="149">
        <v>2.39</v>
      </c>
      <c r="E21" s="22">
        <v>3.9</v>
      </c>
      <c r="F21" s="150">
        <f t="shared" si="1"/>
        <v>3.145</v>
      </c>
      <c r="G21" s="23">
        <f t="shared" si="3"/>
        <v>3.145</v>
      </c>
      <c r="H21" s="204" t="str">
        <f>"K30  = "&amp;ROUND(K13,1)&amp;"÷2.5"</f>
        <v>K30  = 406÷2.5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162.4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162.4×1.3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211.12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162.4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4742-E8FE-45A9-B7EB-40733ABEB21A}">
  <dimension ref="A1:T66"/>
  <sheetViews>
    <sheetView view="pageBreakPreview" topLeftCell="A10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List!B22</f>
        <v>46169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List!A22</f>
        <v>19</v>
      </c>
      <c r="C3" s="253"/>
      <c r="D3" s="253"/>
      <c r="E3" s="253"/>
      <c r="F3" s="45" t="s">
        <v>34</v>
      </c>
      <c r="G3" s="281" t="str">
        <f>List!C22</f>
        <v>중로(집) 3-16 (No.36 ~ No.41) 노체 9단(27층)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7.5231481481481482E-4</v>
      </c>
      <c r="B8" s="140">
        <f>C8*0.07065</f>
        <v>2.47275</v>
      </c>
      <c r="C8" s="20">
        <v>35</v>
      </c>
      <c r="D8" s="149">
        <v>0.02</v>
      </c>
      <c r="E8" s="22">
        <v>0.23</v>
      </c>
      <c r="F8" s="150">
        <f>IFERROR((D8+E8)/2," ")</f>
        <v>0.125</v>
      </c>
      <c r="G8" s="23">
        <f>F8-F7</f>
        <v>0.125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0.33</v>
      </c>
      <c r="T8" s="133">
        <f>F8+Q8</f>
        <v>0.22500000000000001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1" si="0">C9*0.07065</f>
        <v>4.9455</v>
      </c>
      <c r="C9" s="20">
        <v>70</v>
      </c>
      <c r="D9" s="149">
        <v>0.18</v>
      </c>
      <c r="E9" s="22">
        <v>0.61</v>
      </c>
      <c r="F9" s="150">
        <f t="shared" ref="F9:F21" si="1">IFERROR((D9+E9)/2," ")</f>
        <v>0.39500000000000002</v>
      </c>
      <c r="G9" s="23">
        <f>F9-$F$7</f>
        <v>0.39500000000000002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0.71</v>
      </c>
      <c r="T9" s="133">
        <f t="shared" si="2"/>
        <v>0.495</v>
      </c>
    </row>
    <row r="10" spans="1:20" ht="14.25" customHeight="1">
      <c r="A10" s="144">
        <f ca="1">A9+TIME(,RAND()*1+(1-0),RAND()*10+5)</f>
        <v>2.4074074074074072E-3</v>
      </c>
      <c r="B10" s="140">
        <f t="shared" si="0"/>
        <v>7.4182500000000005</v>
      </c>
      <c r="C10" s="20">
        <v>105</v>
      </c>
      <c r="D10" s="149">
        <v>0.24</v>
      </c>
      <c r="E10" s="22">
        <v>0.94</v>
      </c>
      <c r="F10" s="150">
        <f t="shared" si="1"/>
        <v>0.59</v>
      </c>
      <c r="G10" s="23">
        <f t="shared" ref="G10:G21" si="3">F10-$F$7</f>
        <v>0.59</v>
      </c>
      <c r="H10" s="217"/>
      <c r="I10" s="218"/>
      <c r="J10" s="219"/>
      <c r="K10" s="24" t="s">
        <v>15</v>
      </c>
      <c r="L10" s="25">
        <v>0</v>
      </c>
      <c r="M10" s="62">
        <f>K13</f>
        <v>413</v>
      </c>
      <c r="N10" s="2"/>
      <c r="P10" s="3">
        <v>0.1</v>
      </c>
      <c r="Q10" s="3">
        <v>0.1</v>
      </c>
      <c r="S10" s="133">
        <f t="shared" si="2"/>
        <v>1.04</v>
      </c>
      <c r="T10" s="133">
        <f t="shared" si="2"/>
        <v>0.69</v>
      </c>
    </row>
    <row r="11" spans="1:20" ht="14.25" customHeight="1" thickBot="1">
      <c r="A11" s="144">
        <f ca="1">A10+TIME(,RAND()*1+(1-0),RAND()*10+5)</f>
        <v>3.1944444444444442E-3</v>
      </c>
      <c r="B11" s="140">
        <f t="shared" si="0"/>
        <v>9.891</v>
      </c>
      <c r="C11" s="20">
        <v>140</v>
      </c>
      <c r="D11" s="149">
        <v>0.66</v>
      </c>
      <c r="E11" s="22">
        <v>1.26</v>
      </c>
      <c r="F11" s="150">
        <f t="shared" si="1"/>
        <v>0.96</v>
      </c>
      <c r="G11" s="23">
        <f t="shared" si="3"/>
        <v>0.96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1.36</v>
      </c>
      <c r="T11" s="133">
        <f t="shared" si="2"/>
        <v>1.06</v>
      </c>
    </row>
    <row r="12" spans="1:20" ht="14.25" customHeight="1" thickTop="1">
      <c r="A12" s="144">
        <f ca="1">A11+TIME(,RAND()*1+(1-0),RAND()*10+10)</f>
        <v>4.1087962962962962E-3</v>
      </c>
      <c r="B12" s="140">
        <f t="shared" si="0"/>
        <v>12.363750000000001</v>
      </c>
      <c r="C12" s="20">
        <v>175</v>
      </c>
      <c r="D12" s="149">
        <v>0.86</v>
      </c>
      <c r="E12" s="22">
        <v>1.46</v>
      </c>
      <c r="F12" s="150">
        <f t="shared" si="1"/>
        <v>1.1599999999999999</v>
      </c>
      <c r="G12" s="23">
        <f t="shared" si="3"/>
        <v>1.1599999999999999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1.56</v>
      </c>
      <c r="T12" s="133">
        <f t="shared" si="2"/>
        <v>1.26</v>
      </c>
    </row>
    <row r="13" spans="1:20" ht="14.25" customHeight="1">
      <c r="A13" s="144">
        <f ca="1">A12+TIME(,RAND()*1+(1-0),RAND()*10+10)</f>
        <v>4.9305555555555552E-3</v>
      </c>
      <c r="B13" s="140">
        <f t="shared" si="0"/>
        <v>14.836500000000001</v>
      </c>
      <c r="C13" s="20">
        <v>210</v>
      </c>
      <c r="D13" s="149">
        <v>0.96</v>
      </c>
      <c r="E13" s="22">
        <v>1.49</v>
      </c>
      <c r="F13" s="150">
        <f t="shared" si="1"/>
        <v>1.2250000000000001</v>
      </c>
      <c r="G13" s="23">
        <f t="shared" si="3"/>
        <v>1.2250000000000001</v>
      </c>
      <c r="H13" s="217" t="s">
        <v>16</v>
      </c>
      <c r="I13" s="218"/>
      <c r="J13" s="219" t="s">
        <v>23</v>
      </c>
      <c r="K13" s="30">
        <v>413</v>
      </c>
      <c r="L13" s="25">
        <f>M10</f>
        <v>413</v>
      </c>
      <c r="M13" s="26">
        <f>L13</f>
        <v>413</v>
      </c>
      <c r="N13" s="2"/>
      <c r="P13" s="3">
        <v>0.1</v>
      </c>
      <c r="Q13" s="3">
        <v>0.1</v>
      </c>
      <c r="S13" s="133">
        <f t="shared" si="2"/>
        <v>1.59</v>
      </c>
      <c r="T13" s="133">
        <f t="shared" si="2"/>
        <v>1.3250000000000002</v>
      </c>
    </row>
    <row r="14" spans="1:20" ht="14.25" customHeight="1" thickBot="1">
      <c r="A14" s="144">
        <f ca="1">A13+TIME(,RAND()*1+(1-0),RAND()*10+10)</f>
        <v>5.7986111111111103E-3</v>
      </c>
      <c r="B14" s="140">
        <f t="shared" si="0"/>
        <v>17.309250000000002</v>
      </c>
      <c r="C14" s="20">
        <v>245</v>
      </c>
      <c r="D14" s="149">
        <v>1.21</v>
      </c>
      <c r="E14" s="22">
        <v>1.75</v>
      </c>
      <c r="F14" s="150">
        <f t="shared" si="1"/>
        <v>1.48</v>
      </c>
      <c r="G14" s="23">
        <f t="shared" si="3"/>
        <v>1.48</v>
      </c>
      <c r="H14" s="217"/>
      <c r="I14" s="218"/>
      <c r="J14" s="219"/>
      <c r="K14" s="17">
        <f>K13/2.5</f>
        <v>165.2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1.85</v>
      </c>
      <c r="T14" s="133">
        <f t="shared" si="2"/>
        <v>1.58</v>
      </c>
    </row>
    <row r="15" spans="1:20" ht="14.25" customHeight="1" thickTop="1" thickBot="1">
      <c r="A15" s="144">
        <f ca="1">A14+TIME(,RAND()*1+(1-0),RAND()*10+10)</f>
        <v>6.6666666666666662E-3</v>
      </c>
      <c r="B15" s="140">
        <f t="shared" si="0"/>
        <v>19.782</v>
      </c>
      <c r="C15" s="20">
        <v>280</v>
      </c>
      <c r="D15" s="149">
        <v>1.31</v>
      </c>
      <c r="E15" s="22">
        <v>1.9</v>
      </c>
      <c r="F15" s="150">
        <f t="shared" si="1"/>
        <v>1.605</v>
      </c>
      <c r="G15" s="23">
        <f t="shared" si="3"/>
        <v>1.605</v>
      </c>
      <c r="H15" s="217" t="s">
        <v>16</v>
      </c>
      <c r="I15" s="218"/>
      <c r="J15" s="220" t="s">
        <v>27</v>
      </c>
      <c r="K15" s="2">
        <f>ROUND(K14,1)*1.3</f>
        <v>214.76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</v>
      </c>
      <c r="T15" s="133">
        <f t="shared" si="2"/>
        <v>1.7050000000000001</v>
      </c>
    </row>
    <row r="16" spans="1:20" ht="14.25" customHeight="1">
      <c r="A16" s="144">
        <f ca="1">A15+TIME(,RAND()*1+(1-0),RAND()*10+10)</f>
        <v>7.4884259259259253E-3</v>
      </c>
      <c r="B16" s="140">
        <f t="shared" si="0"/>
        <v>22.254750000000001</v>
      </c>
      <c r="C16" s="20">
        <v>315</v>
      </c>
      <c r="D16" s="149">
        <v>1.61</v>
      </c>
      <c r="E16" s="22">
        <v>2.19</v>
      </c>
      <c r="F16" s="150">
        <f t="shared" si="1"/>
        <v>1.9</v>
      </c>
      <c r="G16" s="23">
        <f t="shared" si="3"/>
        <v>1.9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8.3333333333333332E-3</v>
      </c>
      <c r="B17" s="140">
        <f t="shared" si="0"/>
        <v>24.727500000000003</v>
      </c>
      <c r="C17" s="20">
        <v>350</v>
      </c>
      <c r="D17" s="149">
        <v>1.89</v>
      </c>
      <c r="E17" s="22">
        <v>2.56</v>
      </c>
      <c r="F17" s="150">
        <f t="shared" si="1"/>
        <v>2.2250000000000001</v>
      </c>
      <c r="G17" s="23">
        <f t="shared" si="3"/>
        <v>2.2250000000000001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9.1898148148148139E-3</v>
      </c>
      <c r="B18" s="140">
        <f t="shared" si="0"/>
        <v>27.20025</v>
      </c>
      <c r="C18" s="20">
        <v>385</v>
      </c>
      <c r="D18" s="149">
        <v>2.17</v>
      </c>
      <c r="E18" s="22">
        <v>2.59</v>
      </c>
      <c r="F18" s="150">
        <f t="shared" si="1"/>
        <v>2.38</v>
      </c>
      <c r="G18" s="23">
        <f t="shared" si="3"/>
        <v>2.38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1.0081018518518517E-2</v>
      </c>
      <c r="B19" s="140">
        <f t="shared" si="0"/>
        <v>29.673000000000002</v>
      </c>
      <c r="C19" s="20">
        <v>420</v>
      </c>
      <c r="D19" s="149">
        <v>2.2200000000000002</v>
      </c>
      <c r="E19" s="22">
        <v>2.97</v>
      </c>
      <c r="F19" s="150">
        <f t="shared" si="1"/>
        <v>2.5950000000000002</v>
      </c>
      <c r="G19" s="23">
        <f t="shared" si="3"/>
        <v>2.5950000000000002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1.0925925925925924E-2</v>
      </c>
      <c r="B20" s="140">
        <f t="shared" si="0"/>
        <v>32.14575</v>
      </c>
      <c r="C20" s="20">
        <v>455</v>
      </c>
      <c r="D20" s="149">
        <v>2.5</v>
      </c>
      <c r="E20" s="22">
        <v>3.05</v>
      </c>
      <c r="F20" s="150">
        <f t="shared" si="1"/>
        <v>2.7749999999999999</v>
      </c>
      <c r="G20" s="23">
        <f t="shared" si="3"/>
        <v>2.7749999999999999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1.1817129629629627E-2</v>
      </c>
      <c r="B21" s="140">
        <f t="shared" si="0"/>
        <v>34.618500000000004</v>
      </c>
      <c r="C21" s="20">
        <v>490</v>
      </c>
      <c r="D21" s="149">
        <v>2.63</v>
      </c>
      <c r="E21" s="22">
        <v>3.4</v>
      </c>
      <c r="F21" s="150">
        <f t="shared" si="1"/>
        <v>3.0149999999999997</v>
      </c>
      <c r="G21" s="23">
        <f t="shared" si="3"/>
        <v>3.0149999999999997</v>
      </c>
      <c r="H21" s="204" t="str">
        <f>"K30  = "&amp;ROUND(K13,1)&amp;"÷2.5"</f>
        <v>K30  = 413÷2.5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165.2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165.2×1.3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214.76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165.2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34EE-A656-4B13-B270-24C43B9E7F4F}">
  <dimension ref="A1:T66"/>
  <sheetViews>
    <sheetView view="pageBreakPreview" topLeftCell="A7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List!B21</f>
        <v>46169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List!A21</f>
        <v>18</v>
      </c>
      <c r="C3" s="253"/>
      <c r="D3" s="253"/>
      <c r="E3" s="253"/>
      <c r="F3" s="45" t="s">
        <v>34</v>
      </c>
      <c r="G3" s="283" t="str">
        <f>List!C21</f>
        <v>중로(집) 3-14 (No.6 ~ No.9),소로(국)3-17  노체 10단(30층)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0.35</v>
      </c>
      <c r="E8" s="22">
        <v>0.27</v>
      </c>
      <c r="F8" s="150">
        <f>IFERROR((D8+E8)/2," ")</f>
        <v>0.31</v>
      </c>
      <c r="G8" s="23">
        <f>F8-F7</f>
        <v>0.31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0.37</v>
      </c>
      <c r="T8" s="133">
        <f>F8+Q8</f>
        <v>0.41000000000000003</v>
      </c>
    </row>
    <row r="9" spans="1:20" ht="14.25" customHeight="1" thickTop="1">
      <c r="A9" s="144">
        <f ca="1">A8+TIME(,RAND()*1+(1-0),RAND()*10+10)</f>
        <v>1.701388888888889E-3</v>
      </c>
      <c r="B9" s="140">
        <f t="shared" ref="B9:B21" si="0">C9*0.07065</f>
        <v>4.9455</v>
      </c>
      <c r="C9" s="20">
        <v>70</v>
      </c>
      <c r="D9" s="149">
        <v>0.63</v>
      </c>
      <c r="E9" s="22">
        <v>0.62</v>
      </c>
      <c r="F9" s="150">
        <f t="shared" ref="F9:F21" si="1">IFERROR((D9+E9)/2," ")</f>
        <v>0.625</v>
      </c>
      <c r="G9" s="23">
        <f>F9-$F$7</f>
        <v>0.625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0.72</v>
      </c>
      <c r="T9" s="133">
        <f t="shared" si="2"/>
        <v>0.72499999999999998</v>
      </c>
    </row>
    <row r="10" spans="1:20" ht="14.25" customHeight="1">
      <c r="A10" s="144">
        <f ca="1">A9+TIME(,RAND()*1+(1-0),RAND()*10+5)</f>
        <v>2.4537037037037036E-3</v>
      </c>
      <c r="B10" s="140">
        <f t="shared" si="0"/>
        <v>7.4182500000000005</v>
      </c>
      <c r="C10" s="20">
        <v>105</v>
      </c>
      <c r="D10" s="149">
        <v>1.01</v>
      </c>
      <c r="E10" s="22">
        <v>0.84</v>
      </c>
      <c r="F10" s="150">
        <f t="shared" si="1"/>
        <v>0.92500000000000004</v>
      </c>
      <c r="G10" s="23">
        <f t="shared" ref="G10:G21" si="3">F10-$F$7</f>
        <v>0.92500000000000004</v>
      </c>
      <c r="H10" s="217"/>
      <c r="I10" s="218"/>
      <c r="J10" s="219"/>
      <c r="K10" s="24" t="s">
        <v>15</v>
      </c>
      <c r="L10" s="25">
        <v>0</v>
      </c>
      <c r="M10" s="62">
        <f>K13</f>
        <v>424</v>
      </c>
      <c r="N10" s="2"/>
      <c r="P10" s="3">
        <v>0.1</v>
      </c>
      <c r="Q10" s="3">
        <v>0.1</v>
      </c>
      <c r="S10" s="133">
        <f t="shared" si="2"/>
        <v>0.94</v>
      </c>
      <c r="T10" s="133">
        <f t="shared" si="2"/>
        <v>1.0250000000000001</v>
      </c>
    </row>
    <row r="11" spans="1:20" ht="14.25" customHeight="1" thickBot="1">
      <c r="A11" s="144">
        <f ca="1">A10+TIME(,RAND()*1+(1-0),RAND()*10+5)</f>
        <v>3.2175925925925926E-3</v>
      </c>
      <c r="B11" s="140">
        <f t="shared" si="0"/>
        <v>9.891</v>
      </c>
      <c r="C11" s="20">
        <v>140</v>
      </c>
      <c r="D11" s="149">
        <v>1.03</v>
      </c>
      <c r="E11" s="22">
        <v>0.9</v>
      </c>
      <c r="F11" s="150">
        <f t="shared" si="1"/>
        <v>0.96500000000000008</v>
      </c>
      <c r="G11" s="23">
        <f t="shared" si="3"/>
        <v>0.96500000000000008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</v>
      </c>
      <c r="T11" s="133">
        <f t="shared" si="2"/>
        <v>1.0650000000000002</v>
      </c>
    </row>
    <row r="12" spans="1:20" ht="14.25" customHeight="1" thickTop="1">
      <c r="A12" s="144">
        <f ca="1">A11+TIME(,RAND()*1+(1-0),RAND()*10+10)</f>
        <v>4.0277777777777777E-3</v>
      </c>
      <c r="B12" s="140">
        <f t="shared" si="0"/>
        <v>12.363750000000001</v>
      </c>
      <c r="C12" s="20">
        <v>175</v>
      </c>
      <c r="D12" s="149">
        <v>1.1299999999999999</v>
      </c>
      <c r="E12" s="22">
        <v>1.32</v>
      </c>
      <c r="F12" s="150">
        <f t="shared" si="1"/>
        <v>1.2250000000000001</v>
      </c>
      <c r="G12" s="23">
        <f t="shared" si="3"/>
        <v>1.2250000000000001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1.4200000000000002</v>
      </c>
      <c r="T12" s="133">
        <f t="shared" si="2"/>
        <v>1.3250000000000002</v>
      </c>
    </row>
    <row r="13" spans="1:20" ht="14.25" customHeight="1">
      <c r="A13" s="144">
        <f ca="1">A12+TIME(,RAND()*1+(1-0),RAND()*10+10)</f>
        <v>4.9074074074074072E-3</v>
      </c>
      <c r="B13" s="140">
        <f t="shared" si="0"/>
        <v>14.836500000000001</v>
      </c>
      <c r="C13" s="20">
        <v>210</v>
      </c>
      <c r="D13" s="149">
        <v>1.38</v>
      </c>
      <c r="E13" s="22">
        <v>1.52</v>
      </c>
      <c r="F13" s="150">
        <f t="shared" si="1"/>
        <v>1.45</v>
      </c>
      <c r="G13" s="23">
        <f t="shared" si="3"/>
        <v>1.45</v>
      </c>
      <c r="H13" s="217" t="s">
        <v>16</v>
      </c>
      <c r="I13" s="218"/>
      <c r="J13" s="219" t="s">
        <v>23</v>
      </c>
      <c r="K13" s="30">
        <v>424</v>
      </c>
      <c r="L13" s="25">
        <f>M10</f>
        <v>424</v>
      </c>
      <c r="M13" s="26">
        <f>L13</f>
        <v>424</v>
      </c>
      <c r="N13" s="2"/>
      <c r="P13" s="3">
        <v>0.1</v>
      </c>
      <c r="Q13" s="3">
        <v>0.1</v>
      </c>
      <c r="S13" s="133">
        <f t="shared" si="2"/>
        <v>1.62</v>
      </c>
      <c r="T13" s="133">
        <f t="shared" si="2"/>
        <v>1.55</v>
      </c>
    </row>
    <row r="14" spans="1:20" ht="14.25" customHeight="1" thickBot="1">
      <c r="A14" s="144">
        <f ca="1">A13+TIME(,RAND()*1+(1-0),RAND()*10+10)</f>
        <v>5.7638888888888887E-3</v>
      </c>
      <c r="B14" s="140">
        <f t="shared" si="0"/>
        <v>17.309250000000002</v>
      </c>
      <c r="C14" s="20">
        <v>245</v>
      </c>
      <c r="D14" s="149">
        <v>1.6</v>
      </c>
      <c r="E14" s="22">
        <v>1.64</v>
      </c>
      <c r="F14" s="150">
        <f t="shared" si="1"/>
        <v>1.62</v>
      </c>
      <c r="G14" s="23">
        <f t="shared" si="3"/>
        <v>1.62</v>
      </c>
      <c r="H14" s="217"/>
      <c r="I14" s="218"/>
      <c r="J14" s="219"/>
      <c r="K14" s="17">
        <f>K13/2.5</f>
        <v>169.6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1.74</v>
      </c>
      <c r="T14" s="133">
        <f t="shared" si="2"/>
        <v>1.7200000000000002</v>
      </c>
    </row>
    <row r="15" spans="1:20" ht="14.25" customHeight="1" thickTop="1" thickBot="1">
      <c r="A15" s="144">
        <f ca="1">A14+TIME(,RAND()*1+(1-0),RAND()*10+10)</f>
        <v>6.6782407407407407E-3</v>
      </c>
      <c r="B15" s="140">
        <f t="shared" si="0"/>
        <v>19.782</v>
      </c>
      <c r="C15" s="20">
        <v>280</v>
      </c>
      <c r="D15" s="149">
        <v>1.73</v>
      </c>
      <c r="E15" s="22">
        <v>1.67</v>
      </c>
      <c r="F15" s="150">
        <f t="shared" si="1"/>
        <v>1.7</v>
      </c>
      <c r="G15" s="23">
        <f t="shared" si="3"/>
        <v>1.7</v>
      </c>
      <c r="H15" s="217" t="s">
        <v>16</v>
      </c>
      <c r="I15" s="218"/>
      <c r="J15" s="220" t="s">
        <v>27</v>
      </c>
      <c r="K15" s="2">
        <f>ROUND(K14,1)*1.3</f>
        <v>220.48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1.77</v>
      </c>
      <c r="T15" s="133">
        <f t="shared" si="2"/>
        <v>1.8</v>
      </c>
    </row>
    <row r="16" spans="1:20" ht="14.25" customHeight="1">
      <c r="A16" s="144">
        <f ca="1">A15+TIME(,RAND()*1+(1-0),RAND()*10+10)</f>
        <v>7.4999999999999997E-3</v>
      </c>
      <c r="B16" s="140">
        <f t="shared" si="0"/>
        <v>22.254750000000001</v>
      </c>
      <c r="C16" s="20">
        <v>315</v>
      </c>
      <c r="D16" s="149">
        <v>1.86</v>
      </c>
      <c r="E16" s="22">
        <v>1.97</v>
      </c>
      <c r="F16" s="150">
        <f t="shared" si="1"/>
        <v>1.915</v>
      </c>
      <c r="G16" s="23">
        <f t="shared" si="3"/>
        <v>1.915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8.3796296296296292E-3</v>
      </c>
      <c r="B17" s="140">
        <f t="shared" si="0"/>
        <v>24.727500000000003</v>
      </c>
      <c r="C17" s="20">
        <v>350</v>
      </c>
      <c r="D17" s="149">
        <v>1.88</v>
      </c>
      <c r="E17" s="22">
        <v>2</v>
      </c>
      <c r="F17" s="150">
        <f t="shared" si="1"/>
        <v>1.94</v>
      </c>
      <c r="G17" s="23">
        <f t="shared" si="3"/>
        <v>1.94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9.2361111111111116E-3</v>
      </c>
      <c r="B18" s="140">
        <f t="shared" si="0"/>
        <v>27.20025</v>
      </c>
      <c r="C18" s="20">
        <v>385</v>
      </c>
      <c r="D18" s="149">
        <v>2.04</v>
      </c>
      <c r="E18" s="22">
        <v>2.29</v>
      </c>
      <c r="F18" s="150">
        <f t="shared" si="1"/>
        <v>2.165</v>
      </c>
      <c r="G18" s="23">
        <f t="shared" si="3"/>
        <v>2.165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1.0115740740740741E-2</v>
      </c>
      <c r="B19" s="140">
        <f t="shared" si="0"/>
        <v>29.673000000000002</v>
      </c>
      <c r="C19" s="20">
        <v>420</v>
      </c>
      <c r="D19" s="149">
        <v>2.27</v>
      </c>
      <c r="E19" s="22">
        <v>2.6</v>
      </c>
      <c r="F19" s="150">
        <f t="shared" si="1"/>
        <v>2.4350000000000001</v>
      </c>
      <c r="G19" s="23">
        <f t="shared" si="3"/>
        <v>2.4350000000000001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1.0960648148148148E-2</v>
      </c>
      <c r="B20" s="140">
        <f t="shared" si="0"/>
        <v>32.14575</v>
      </c>
      <c r="C20" s="20">
        <v>455</v>
      </c>
      <c r="D20" s="149">
        <v>2.46</v>
      </c>
      <c r="E20" s="22">
        <v>2.86</v>
      </c>
      <c r="F20" s="150">
        <f t="shared" si="1"/>
        <v>2.66</v>
      </c>
      <c r="G20" s="23">
        <f t="shared" si="3"/>
        <v>2.66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1.1782407407407408E-2</v>
      </c>
      <c r="B21" s="140">
        <f t="shared" si="0"/>
        <v>34.618500000000004</v>
      </c>
      <c r="C21" s="20">
        <v>490</v>
      </c>
      <c r="D21" s="149">
        <v>2.84</v>
      </c>
      <c r="E21" s="22">
        <v>3.16</v>
      </c>
      <c r="F21" s="150">
        <f t="shared" si="1"/>
        <v>3</v>
      </c>
      <c r="G21" s="23">
        <f t="shared" si="3"/>
        <v>3</v>
      </c>
      <c r="H21" s="204" t="str">
        <f>"K30  = "&amp;ROUND(K13,1)&amp;"÷2.5"</f>
        <v>K30  = 424÷2.5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169.6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169.6×1.3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220.48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169.6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855F-A6AC-4EAB-A83F-B101AA4907AD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List!B20</f>
        <v>46169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List!A20</f>
        <v>17</v>
      </c>
      <c r="C3" s="253"/>
      <c r="D3" s="253"/>
      <c r="E3" s="253"/>
      <c r="F3" s="45" t="s">
        <v>34</v>
      </c>
      <c r="G3" s="283" t="str">
        <f>List!C20</f>
        <v>중로(집) 3-14 (No.6 ~ No.9),소로(국)3-17  노체 9단(27층)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7.5231481481481482E-4</v>
      </c>
      <c r="B8" s="140">
        <f>C8*0.07065</f>
        <v>2.47275</v>
      </c>
      <c r="C8" s="20">
        <v>35</v>
      </c>
      <c r="D8" s="149">
        <v>0.12</v>
      </c>
      <c r="E8" s="22">
        <v>0.18</v>
      </c>
      <c r="F8" s="150">
        <f>IFERROR((D8+E8)/2," ")</f>
        <v>0.15</v>
      </c>
      <c r="G8" s="23">
        <f>F8-F7</f>
        <v>0.15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0.28000000000000003</v>
      </c>
      <c r="T8" s="133">
        <f>F8+Q8</f>
        <v>0.25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1" si="0">C9*0.07065</f>
        <v>4.9455</v>
      </c>
      <c r="C9" s="20">
        <v>70</v>
      </c>
      <c r="D9" s="149">
        <v>0.49</v>
      </c>
      <c r="E9" s="22">
        <v>0.23</v>
      </c>
      <c r="F9" s="150">
        <f t="shared" ref="F9:F21" si="1">IFERROR((D9+E9)/2," ")</f>
        <v>0.36</v>
      </c>
      <c r="G9" s="23">
        <f>F9-$F$7</f>
        <v>0.36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0.33</v>
      </c>
      <c r="T9" s="133">
        <f t="shared" si="2"/>
        <v>0.45999999999999996</v>
      </c>
    </row>
    <row r="10" spans="1:20" ht="14.25" customHeight="1">
      <c r="A10" s="144">
        <f ca="1">A9+TIME(,RAND()*1+(1-0),RAND()*10+5)</f>
        <v>2.4305555555555556E-3</v>
      </c>
      <c r="B10" s="140">
        <f t="shared" si="0"/>
        <v>7.4182500000000005</v>
      </c>
      <c r="C10" s="20">
        <v>105</v>
      </c>
      <c r="D10" s="149">
        <v>0.56000000000000005</v>
      </c>
      <c r="E10" s="22">
        <v>0.56000000000000005</v>
      </c>
      <c r="F10" s="150">
        <f t="shared" si="1"/>
        <v>0.56000000000000005</v>
      </c>
      <c r="G10" s="23">
        <f t="shared" ref="G10:G21" si="3">F10-$F$7</f>
        <v>0.56000000000000005</v>
      </c>
      <c r="H10" s="217"/>
      <c r="I10" s="218"/>
      <c r="J10" s="219"/>
      <c r="K10" s="24" t="s">
        <v>15</v>
      </c>
      <c r="L10" s="25">
        <v>0</v>
      </c>
      <c r="M10" s="62">
        <f>K13</f>
        <v>427</v>
      </c>
      <c r="N10" s="2"/>
      <c r="P10" s="3">
        <v>0.1</v>
      </c>
      <c r="Q10" s="3">
        <v>0.1</v>
      </c>
      <c r="S10" s="133">
        <f t="shared" si="2"/>
        <v>0.66</v>
      </c>
      <c r="T10" s="133">
        <f t="shared" si="2"/>
        <v>0.66</v>
      </c>
    </row>
    <row r="11" spans="1:20" ht="14.25" customHeight="1" thickBot="1">
      <c r="A11" s="144">
        <f ca="1">A10+TIME(,RAND()*1+(1-0),RAND()*10+5)</f>
        <v>3.1828703703703706E-3</v>
      </c>
      <c r="B11" s="140">
        <f t="shared" si="0"/>
        <v>9.891</v>
      </c>
      <c r="C11" s="20">
        <v>140</v>
      </c>
      <c r="D11" s="149">
        <v>0.77</v>
      </c>
      <c r="E11" s="22">
        <v>0.95</v>
      </c>
      <c r="F11" s="150">
        <f t="shared" si="1"/>
        <v>0.86</v>
      </c>
      <c r="G11" s="23">
        <f t="shared" si="3"/>
        <v>0.86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1.05</v>
      </c>
      <c r="T11" s="133">
        <f t="shared" si="2"/>
        <v>0.96</v>
      </c>
    </row>
    <row r="12" spans="1:20" ht="14.25" customHeight="1" thickTop="1">
      <c r="A12" s="144">
        <f ca="1">A11+TIME(,RAND()*1+(1-0),RAND()*10+10)</f>
        <v>4.0046296296296297E-3</v>
      </c>
      <c r="B12" s="140">
        <f t="shared" si="0"/>
        <v>12.363750000000001</v>
      </c>
      <c r="C12" s="20">
        <v>175</v>
      </c>
      <c r="D12" s="149">
        <v>0.93</v>
      </c>
      <c r="E12" s="22">
        <v>1.07</v>
      </c>
      <c r="F12" s="150">
        <f t="shared" si="1"/>
        <v>1</v>
      </c>
      <c r="G12" s="23">
        <f t="shared" si="3"/>
        <v>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1.1700000000000002</v>
      </c>
      <c r="T12" s="133">
        <f t="shared" si="2"/>
        <v>1.1000000000000001</v>
      </c>
    </row>
    <row r="13" spans="1:20" ht="14.25" customHeight="1">
      <c r="A13" s="144">
        <f ca="1">A12+TIME(,RAND()*1+(1-0),RAND()*10+10)</f>
        <v>4.9074074074074072E-3</v>
      </c>
      <c r="B13" s="140">
        <f t="shared" si="0"/>
        <v>14.836500000000001</v>
      </c>
      <c r="C13" s="20">
        <v>210</v>
      </c>
      <c r="D13" s="149">
        <v>1.27</v>
      </c>
      <c r="E13" s="22">
        <v>1.25</v>
      </c>
      <c r="F13" s="150">
        <f t="shared" si="1"/>
        <v>1.26</v>
      </c>
      <c r="G13" s="23">
        <f t="shared" si="3"/>
        <v>1.26</v>
      </c>
      <c r="H13" s="217" t="s">
        <v>16</v>
      </c>
      <c r="I13" s="218"/>
      <c r="J13" s="219" t="s">
        <v>23</v>
      </c>
      <c r="K13" s="30">
        <v>427</v>
      </c>
      <c r="L13" s="25">
        <f>M10</f>
        <v>427</v>
      </c>
      <c r="M13" s="26">
        <f>L13</f>
        <v>427</v>
      </c>
      <c r="N13" s="2"/>
      <c r="P13" s="3">
        <v>0.1</v>
      </c>
      <c r="Q13" s="3">
        <v>0.1</v>
      </c>
      <c r="S13" s="133">
        <f t="shared" si="2"/>
        <v>1.35</v>
      </c>
      <c r="T13" s="133">
        <f t="shared" si="2"/>
        <v>1.36</v>
      </c>
    </row>
    <row r="14" spans="1:20" ht="14.25" customHeight="1" thickBot="1">
      <c r="A14" s="144">
        <f ca="1">A13+TIME(,RAND()*1+(1-0),RAND()*10+10)</f>
        <v>5.7986111111111112E-3</v>
      </c>
      <c r="B14" s="140">
        <f t="shared" si="0"/>
        <v>17.309250000000002</v>
      </c>
      <c r="C14" s="20">
        <v>245</v>
      </c>
      <c r="D14" s="149">
        <v>1.45</v>
      </c>
      <c r="E14" s="22">
        <v>1.46</v>
      </c>
      <c r="F14" s="150">
        <f t="shared" si="1"/>
        <v>1.4550000000000001</v>
      </c>
      <c r="G14" s="23">
        <f t="shared" si="3"/>
        <v>1.4550000000000001</v>
      </c>
      <c r="H14" s="217"/>
      <c r="I14" s="218"/>
      <c r="J14" s="219"/>
      <c r="K14" s="17">
        <f>K13/2.5</f>
        <v>170.8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1.56</v>
      </c>
      <c r="T14" s="133">
        <f t="shared" si="2"/>
        <v>1.5550000000000002</v>
      </c>
    </row>
    <row r="15" spans="1:20" ht="14.25" customHeight="1" thickTop="1" thickBot="1">
      <c r="A15" s="144">
        <f ca="1">A14+TIME(,RAND()*1+(1-0),RAND()*10+10)</f>
        <v>6.6435185185185182E-3</v>
      </c>
      <c r="B15" s="140">
        <f t="shared" si="0"/>
        <v>19.782</v>
      </c>
      <c r="C15" s="20">
        <v>280</v>
      </c>
      <c r="D15" s="149">
        <v>1.57</v>
      </c>
      <c r="E15" s="22">
        <v>1.61</v>
      </c>
      <c r="F15" s="150">
        <f t="shared" si="1"/>
        <v>1.59</v>
      </c>
      <c r="G15" s="23">
        <f t="shared" si="3"/>
        <v>1.59</v>
      </c>
      <c r="H15" s="217" t="s">
        <v>16</v>
      </c>
      <c r="I15" s="218"/>
      <c r="J15" s="220" t="s">
        <v>27</v>
      </c>
      <c r="K15" s="2">
        <f>ROUND(K14,1)*1.3</f>
        <v>222.04000000000002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1.7100000000000002</v>
      </c>
      <c r="T15" s="133">
        <f t="shared" si="2"/>
        <v>1.6900000000000002</v>
      </c>
    </row>
    <row r="16" spans="1:20" ht="14.25" customHeight="1">
      <c r="A16" s="144">
        <f ca="1">A15+TIME(,RAND()*1+(1-0),RAND()*10+10)</f>
        <v>7.4768518518518517E-3</v>
      </c>
      <c r="B16" s="140">
        <f t="shared" si="0"/>
        <v>22.254750000000001</v>
      </c>
      <c r="C16" s="20">
        <v>315</v>
      </c>
      <c r="D16" s="149">
        <v>1.94</v>
      </c>
      <c r="E16" s="22">
        <v>1.68</v>
      </c>
      <c r="F16" s="150">
        <f t="shared" si="1"/>
        <v>1.81</v>
      </c>
      <c r="G16" s="23">
        <f t="shared" si="3"/>
        <v>1.81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8.3101851851851843E-3</v>
      </c>
      <c r="B17" s="140">
        <f t="shared" si="0"/>
        <v>24.727500000000003</v>
      </c>
      <c r="C17" s="20">
        <v>350</v>
      </c>
      <c r="D17" s="149">
        <v>2.11</v>
      </c>
      <c r="E17" s="22">
        <v>1.93</v>
      </c>
      <c r="F17" s="150">
        <f t="shared" si="1"/>
        <v>2.02</v>
      </c>
      <c r="G17" s="23">
        <f t="shared" si="3"/>
        <v>2.02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9.2245370370370363E-3</v>
      </c>
      <c r="B18" s="140">
        <f t="shared" si="0"/>
        <v>27.20025</v>
      </c>
      <c r="C18" s="20">
        <v>385</v>
      </c>
      <c r="D18" s="149">
        <v>2.12</v>
      </c>
      <c r="E18" s="22">
        <v>2.35</v>
      </c>
      <c r="F18" s="150">
        <f t="shared" si="1"/>
        <v>2.2350000000000003</v>
      </c>
      <c r="G18" s="23">
        <f t="shared" si="3"/>
        <v>2.2350000000000003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1.0069444444444443E-2</v>
      </c>
      <c r="B19" s="140">
        <f t="shared" si="0"/>
        <v>29.673000000000002</v>
      </c>
      <c r="C19" s="20">
        <v>420</v>
      </c>
      <c r="D19" s="149">
        <v>2.54</v>
      </c>
      <c r="E19" s="22">
        <v>2.44</v>
      </c>
      <c r="F19" s="150">
        <f t="shared" si="1"/>
        <v>2.4900000000000002</v>
      </c>
      <c r="G19" s="23">
        <f t="shared" si="3"/>
        <v>2.4900000000000002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1.0879629629629628E-2</v>
      </c>
      <c r="B20" s="140">
        <f t="shared" si="0"/>
        <v>32.14575</v>
      </c>
      <c r="C20" s="20">
        <v>455</v>
      </c>
      <c r="D20" s="149">
        <v>2.8</v>
      </c>
      <c r="E20" s="22">
        <v>2.79</v>
      </c>
      <c r="F20" s="150">
        <f t="shared" si="1"/>
        <v>2.7949999999999999</v>
      </c>
      <c r="G20" s="23">
        <f t="shared" si="3"/>
        <v>2.7949999999999999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1.1782407407407406E-2</v>
      </c>
      <c r="B21" s="140">
        <f t="shared" si="0"/>
        <v>34.618500000000004</v>
      </c>
      <c r="C21" s="20">
        <v>490</v>
      </c>
      <c r="D21" s="149">
        <v>3.1</v>
      </c>
      <c r="E21" s="22">
        <v>2.87</v>
      </c>
      <c r="F21" s="150">
        <f t="shared" si="1"/>
        <v>2.9850000000000003</v>
      </c>
      <c r="G21" s="23">
        <f t="shared" si="3"/>
        <v>2.9850000000000003</v>
      </c>
      <c r="H21" s="204" t="str">
        <f>"K30  = "&amp;ROUND(K13,1)&amp;"÷2.5"</f>
        <v>K30  = 427÷2.5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170.8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170.8×1.3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222.04000000000002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170.8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0140-B393-4326-B5D9-98831380CE87}">
  <dimension ref="A1:T66"/>
  <sheetViews>
    <sheetView view="pageBreakPreview" topLeftCell="A10" zoomScale="115" zoomScaleNormal="100" zoomScaleSheetLayoutView="115" workbookViewId="0">
      <selection activeCell="R20" sqref="R20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List!B19</f>
        <v>46168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List!A19</f>
        <v>16</v>
      </c>
      <c r="C3" s="253"/>
      <c r="D3" s="253"/>
      <c r="E3" s="253"/>
      <c r="F3" s="45" t="s">
        <v>34</v>
      </c>
      <c r="G3" s="281" t="str">
        <f>List!C19</f>
        <v>중로(집) 3-16 (No.36 ~ No.41) 노체 8단(24층)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7.7546296296296293E-4</v>
      </c>
      <c r="B8" s="140">
        <f>C8*0.07065</f>
        <v>2.47275</v>
      </c>
      <c r="C8" s="20">
        <v>35</v>
      </c>
      <c r="D8" s="149">
        <v>0.12</v>
      </c>
      <c r="E8" s="22">
        <v>0.04</v>
      </c>
      <c r="F8" s="150">
        <f>IFERROR((D8+E8)/2," ")</f>
        <v>0.08</v>
      </c>
      <c r="G8" s="23">
        <f>F8-F7</f>
        <v>0.08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0.14000000000000001</v>
      </c>
      <c r="T8" s="133">
        <f>F8+Q8</f>
        <v>0.18</v>
      </c>
    </row>
    <row r="9" spans="1:20" ht="14.25" customHeight="1" thickTop="1">
      <c r="A9" s="144">
        <f ca="1">A8+TIME(,RAND()*1+(1-0),RAND()*10+10)</f>
        <v>1.6319444444444445E-3</v>
      </c>
      <c r="B9" s="140">
        <f t="shared" ref="B9:B22" si="0">C9*0.07065</f>
        <v>4.9455</v>
      </c>
      <c r="C9" s="20">
        <v>70</v>
      </c>
      <c r="D9" s="149">
        <v>0.2</v>
      </c>
      <c r="E9" s="22">
        <v>0.31</v>
      </c>
      <c r="F9" s="150">
        <f t="shared" ref="F9:F22" si="1">IFERROR((D9+E9)/2," ")</f>
        <v>0.255</v>
      </c>
      <c r="G9" s="23">
        <f>F9-$F$7</f>
        <v>0.255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0.41000000000000003</v>
      </c>
      <c r="T9" s="133">
        <f t="shared" si="2"/>
        <v>0.35499999999999998</v>
      </c>
    </row>
    <row r="10" spans="1:20" ht="14.25" customHeight="1">
      <c r="A10" s="144">
        <f ca="1">A9+TIME(,RAND()*1+(1-0),RAND()*10+5)</f>
        <v>2.465277777777778E-3</v>
      </c>
      <c r="B10" s="140">
        <f t="shared" si="0"/>
        <v>7.4182500000000005</v>
      </c>
      <c r="C10" s="20">
        <v>105</v>
      </c>
      <c r="D10" s="149">
        <v>0.31</v>
      </c>
      <c r="E10" s="22">
        <v>0.69</v>
      </c>
      <c r="F10" s="150">
        <f t="shared" si="1"/>
        <v>0.5</v>
      </c>
      <c r="G10" s="23">
        <f t="shared" ref="G10:G22" si="3">F10-$F$7</f>
        <v>0.5</v>
      </c>
      <c r="H10" s="217"/>
      <c r="I10" s="218"/>
      <c r="J10" s="219"/>
      <c r="K10" s="24" t="s">
        <v>15</v>
      </c>
      <c r="L10" s="25">
        <v>0</v>
      </c>
      <c r="M10" s="62">
        <f>K13</f>
        <v>419</v>
      </c>
      <c r="N10" s="2"/>
      <c r="P10" s="3">
        <v>0.1</v>
      </c>
      <c r="Q10" s="3">
        <v>0.1</v>
      </c>
      <c r="S10" s="133">
        <f t="shared" si="2"/>
        <v>0.78999999999999992</v>
      </c>
      <c r="T10" s="133">
        <f t="shared" si="2"/>
        <v>0.6</v>
      </c>
    </row>
    <row r="11" spans="1:20" ht="14.25" customHeight="1" thickBot="1">
      <c r="A11" s="144">
        <f ca="1">A10+TIME(,RAND()*1+(1-0),RAND()*10+5)</f>
        <v>3.3217592592592595E-3</v>
      </c>
      <c r="B11" s="140">
        <f t="shared" si="0"/>
        <v>9.891</v>
      </c>
      <c r="C11" s="20">
        <v>140</v>
      </c>
      <c r="D11" s="149">
        <v>0.35</v>
      </c>
      <c r="E11" s="22">
        <v>1.0900000000000001</v>
      </c>
      <c r="F11" s="150">
        <f t="shared" si="1"/>
        <v>0.72</v>
      </c>
      <c r="G11" s="23">
        <f t="shared" si="3"/>
        <v>0.72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1.1900000000000002</v>
      </c>
      <c r="T11" s="133">
        <f t="shared" si="2"/>
        <v>0.82</v>
      </c>
    </row>
    <row r="12" spans="1:20" ht="14.25" customHeight="1" thickTop="1">
      <c r="A12" s="144">
        <f ca="1">A11+TIME(,RAND()*1+(1-0),RAND()*10+10)</f>
        <v>4.178240740740741E-3</v>
      </c>
      <c r="B12" s="140">
        <f t="shared" si="0"/>
        <v>12.363750000000001</v>
      </c>
      <c r="C12" s="20">
        <v>175</v>
      </c>
      <c r="D12" s="149">
        <v>0.51</v>
      </c>
      <c r="E12" s="22">
        <v>1.3</v>
      </c>
      <c r="F12" s="150">
        <f t="shared" si="1"/>
        <v>0.90500000000000003</v>
      </c>
      <c r="G12" s="23">
        <f t="shared" si="3"/>
        <v>0.90500000000000003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1.4000000000000001</v>
      </c>
      <c r="T12" s="133">
        <f t="shared" si="2"/>
        <v>1.0050000000000001</v>
      </c>
    </row>
    <row r="13" spans="1:20" ht="14.25" customHeight="1">
      <c r="A13" s="144">
        <f ca="1">A12+TIME(,RAND()*1+(1-0),RAND()*10+10)</f>
        <v>5.0578703703703706E-3</v>
      </c>
      <c r="B13" s="140">
        <f t="shared" si="0"/>
        <v>14.836500000000001</v>
      </c>
      <c r="C13" s="20">
        <v>210</v>
      </c>
      <c r="D13" s="149">
        <v>0.8</v>
      </c>
      <c r="E13" s="22">
        <v>1.52</v>
      </c>
      <c r="F13" s="150">
        <f t="shared" si="1"/>
        <v>1.1600000000000001</v>
      </c>
      <c r="G13" s="23">
        <f t="shared" si="3"/>
        <v>1.1600000000000001</v>
      </c>
      <c r="H13" s="217" t="s">
        <v>16</v>
      </c>
      <c r="I13" s="218"/>
      <c r="J13" s="219" t="s">
        <v>23</v>
      </c>
      <c r="K13" s="30">
        <v>419</v>
      </c>
      <c r="L13" s="25">
        <f>M10</f>
        <v>419</v>
      </c>
      <c r="M13" s="26">
        <f>L13</f>
        <v>419</v>
      </c>
      <c r="N13" s="2"/>
      <c r="P13" s="3">
        <v>0.1</v>
      </c>
      <c r="Q13" s="3">
        <v>0.1</v>
      </c>
      <c r="S13" s="133">
        <f t="shared" si="2"/>
        <v>1.62</v>
      </c>
      <c r="T13" s="133">
        <f t="shared" si="2"/>
        <v>1.2600000000000002</v>
      </c>
    </row>
    <row r="14" spans="1:20" ht="14.25" customHeight="1" thickBot="1">
      <c r="A14" s="144">
        <f ca="1">A13+TIME(,RAND()*1+(1-0),RAND()*10+10)</f>
        <v>5.868055555555556E-3</v>
      </c>
      <c r="B14" s="140">
        <f t="shared" si="0"/>
        <v>17.309250000000002</v>
      </c>
      <c r="C14" s="20">
        <v>245</v>
      </c>
      <c r="D14" s="149">
        <v>1.18</v>
      </c>
      <c r="E14" s="22">
        <v>1.67</v>
      </c>
      <c r="F14" s="150">
        <f t="shared" si="1"/>
        <v>1.4249999999999998</v>
      </c>
      <c r="G14" s="23">
        <f t="shared" si="3"/>
        <v>1.4249999999999998</v>
      </c>
      <c r="H14" s="217"/>
      <c r="I14" s="218"/>
      <c r="J14" s="219"/>
      <c r="K14" s="17">
        <f>K13/2.5</f>
        <v>167.6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1.77</v>
      </c>
      <c r="T14" s="133">
        <f t="shared" si="2"/>
        <v>1.5249999999999999</v>
      </c>
    </row>
    <row r="15" spans="1:20" ht="14.25" customHeight="1" thickTop="1" thickBot="1">
      <c r="A15" s="144">
        <f ca="1">A14+TIME(,RAND()*1+(1-0),RAND()*10+10)</f>
        <v>6.7361111111111111E-3</v>
      </c>
      <c r="B15" s="140">
        <f t="shared" si="0"/>
        <v>19.782</v>
      </c>
      <c r="C15" s="20">
        <v>280</v>
      </c>
      <c r="D15" s="149">
        <v>1.38</v>
      </c>
      <c r="E15" s="22">
        <v>1.89</v>
      </c>
      <c r="F15" s="150">
        <f t="shared" si="1"/>
        <v>1.6349999999999998</v>
      </c>
      <c r="G15" s="23">
        <f t="shared" si="3"/>
        <v>1.6349999999999998</v>
      </c>
      <c r="H15" s="217" t="s">
        <v>16</v>
      </c>
      <c r="I15" s="218"/>
      <c r="J15" s="220" t="s">
        <v>27</v>
      </c>
      <c r="K15" s="2">
        <f>ROUND(K14,1)*1.3</f>
        <v>217.88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1.99</v>
      </c>
      <c r="T15" s="133">
        <f t="shared" si="2"/>
        <v>1.7349999999999999</v>
      </c>
    </row>
    <row r="16" spans="1:20" ht="14.25" customHeight="1">
      <c r="A16" s="144">
        <f ca="1">A15+TIME(,RAND()*1+(1-0),RAND()*10+10)</f>
        <v>7.5694444444444446E-3</v>
      </c>
      <c r="B16" s="140">
        <f t="shared" si="0"/>
        <v>22.254750000000001</v>
      </c>
      <c r="C16" s="20">
        <v>315</v>
      </c>
      <c r="D16" s="149">
        <v>1.64</v>
      </c>
      <c r="E16" s="22">
        <v>2.02</v>
      </c>
      <c r="F16" s="150">
        <f t="shared" si="1"/>
        <v>1.83</v>
      </c>
      <c r="G16" s="23">
        <f t="shared" si="3"/>
        <v>1.83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8.3796296296296292E-3</v>
      </c>
      <c r="B17" s="140">
        <f t="shared" si="0"/>
        <v>24.727500000000003</v>
      </c>
      <c r="C17" s="20">
        <v>350</v>
      </c>
      <c r="D17" s="149">
        <v>2.0099999999999998</v>
      </c>
      <c r="E17" s="22">
        <v>2.35</v>
      </c>
      <c r="F17" s="150">
        <f t="shared" si="1"/>
        <v>2.1799999999999997</v>
      </c>
      <c r="G17" s="23">
        <f t="shared" si="3"/>
        <v>2.1799999999999997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9.2245370370370363E-3</v>
      </c>
      <c r="B18" s="140">
        <f t="shared" si="0"/>
        <v>27.20025</v>
      </c>
      <c r="C18" s="20">
        <v>385</v>
      </c>
      <c r="D18" s="149">
        <v>2.12</v>
      </c>
      <c r="E18" s="22">
        <v>2.65</v>
      </c>
      <c r="F18" s="150">
        <f t="shared" si="1"/>
        <v>2.3849999999999998</v>
      </c>
      <c r="G18" s="23">
        <f t="shared" si="3"/>
        <v>2.3849999999999998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1.0092592592592592E-2</v>
      </c>
      <c r="B19" s="140">
        <f t="shared" si="0"/>
        <v>29.673000000000002</v>
      </c>
      <c r="C19" s="20">
        <v>420</v>
      </c>
      <c r="D19" s="149">
        <v>2.29</v>
      </c>
      <c r="E19" s="22">
        <v>2.75</v>
      </c>
      <c r="F19" s="150">
        <f t="shared" si="1"/>
        <v>2.52</v>
      </c>
      <c r="G19" s="23">
        <f t="shared" si="3"/>
        <v>2.52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1.0925925925925926E-2</v>
      </c>
      <c r="B20" s="140">
        <f t="shared" si="0"/>
        <v>32.14575</v>
      </c>
      <c r="C20" s="20">
        <v>455</v>
      </c>
      <c r="D20" s="149">
        <v>2.35</v>
      </c>
      <c r="E20" s="22">
        <v>3.03</v>
      </c>
      <c r="F20" s="150">
        <f t="shared" si="1"/>
        <v>2.69</v>
      </c>
      <c r="G20" s="23">
        <f t="shared" si="3"/>
        <v>2.69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1.1747685185185186E-2</v>
      </c>
      <c r="B21" s="140">
        <f t="shared" si="0"/>
        <v>34.618500000000004</v>
      </c>
      <c r="C21" s="20">
        <v>490</v>
      </c>
      <c r="D21" s="149">
        <v>2.46</v>
      </c>
      <c r="E21" s="22">
        <v>3.3</v>
      </c>
      <c r="F21" s="150">
        <f t="shared" si="1"/>
        <v>2.88</v>
      </c>
      <c r="G21" s="23">
        <f t="shared" si="3"/>
        <v>2.88</v>
      </c>
      <c r="H21" s="204" t="str">
        <f>"K30  = "&amp;ROUND(K13,1)&amp;"÷2.5"</f>
        <v>K30  = 419÷2.5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1.2627314814814815E-2</v>
      </c>
      <c r="B22" s="140">
        <f t="shared" si="0"/>
        <v>37.091250000000002</v>
      </c>
      <c r="C22" s="20">
        <v>525</v>
      </c>
      <c r="D22" s="149">
        <v>2.5099999999999998</v>
      </c>
      <c r="E22" s="22">
        <v>3.6749999999999998</v>
      </c>
      <c r="F22" s="150">
        <f t="shared" si="1"/>
        <v>3.0924999999999998</v>
      </c>
      <c r="G22" s="23">
        <f t="shared" si="3"/>
        <v>3.0924999999999998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167.6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167.6×1.3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217.88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167.6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FF63-EDEC-4223-A32C-9BFA96BAAEAB}">
  <dimension ref="A1:T66"/>
  <sheetViews>
    <sheetView view="pageBreakPreview" topLeftCell="A10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List!B18</f>
        <v>46168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List!A18</f>
        <v>15</v>
      </c>
      <c r="C3" s="253"/>
      <c r="D3" s="253"/>
      <c r="E3" s="253"/>
      <c r="F3" s="45" t="s">
        <v>34</v>
      </c>
      <c r="G3" s="281" t="str">
        <f>List!C18</f>
        <v>중로(집) 3-16 (No.36 ~ No.41) 노체 7단(21층)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0.34</v>
      </c>
      <c r="E8" s="22">
        <v>0.16</v>
      </c>
      <c r="F8" s="150">
        <f>IFERROR((D8+E8)/2," ")</f>
        <v>0.25</v>
      </c>
      <c r="G8" s="23">
        <f>F8-F7</f>
        <v>0.25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0.26</v>
      </c>
      <c r="T8" s="133">
        <f>F8+Q8</f>
        <v>0.35</v>
      </c>
    </row>
    <row r="9" spans="1:20" ht="14.25" customHeight="1" thickTop="1">
      <c r="A9" s="144">
        <f ca="1">A8+TIME(,RAND()*1+(1-0),RAND()*10+10)</f>
        <v>1.6203703703703703E-3</v>
      </c>
      <c r="B9" s="140">
        <f t="shared" ref="B9:B21" si="0">C9*0.07065</f>
        <v>4.9455</v>
      </c>
      <c r="C9" s="20">
        <v>70</v>
      </c>
      <c r="D9" s="149">
        <v>0.64</v>
      </c>
      <c r="E9" s="22">
        <v>0.28000000000000003</v>
      </c>
      <c r="F9" s="150">
        <f t="shared" ref="F9:F21" si="1">IFERROR((D9+E9)/2," ")</f>
        <v>0.46</v>
      </c>
      <c r="G9" s="23">
        <f>F9-$F$7</f>
        <v>0.46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0.38</v>
      </c>
      <c r="T9" s="133">
        <f t="shared" si="2"/>
        <v>0.56000000000000005</v>
      </c>
    </row>
    <row r="10" spans="1:20" ht="14.25" customHeight="1">
      <c r="A10" s="144">
        <f ca="1">A9+TIME(,RAND()*1+(1-0),RAND()*10+5)</f>
        <v>2.3842592592592591E-3</v>
      </c>
      <c r="B10" s="140">
        <f t="shared" si="0"/>
        <v>7.4182500000000005</v>
      </c>
      <c r="C10" s="20">
        <v>105</v>
      </c>
      <c r="D10" s="149">
        <v>0.75</v>
      </c>
      <c r="E10" s="22">
        <v>0.44</v>
      </c>
      <c r="F10" s="150">
        <f t="shared" si="1"/>
        <v>0.59499999999999997</v>
      </c>
      <c r="G10" s="23">
        <f t="shared" ref="G10:G21" si="3">F10-$F$7</f>
        <v>0.59499999999999997</v>
      </c>
      <c r="H10" s="217"/>
      <c r="I10" s="218"/>
      <c r="J10" s="219"/>
      <c r="K10" s="24" t="s">
        <v>15</v>
      </c>
      <c r="L10" s="25">
        <v>0</v>
      </c>
      <c r="M10" s="62">
        <f>K13</f>
        <v>429</v>
      </c>
      <c r="N10" s="2"/>
      <c r="P10" s="3">
        <v>0.1</v>
      </c>
      <c r="Q10" s="3">
        <v>0.1</v>
      </c>
      <c r="S10" s="133">
        <f t="shared" si="2"/>
        <v>0.54</v>
      </c>
      <c r="T10" s="133">
        <f t="shared" si="2"/>
        <v>0.69499999999999995</v>
      </c>
    </row>
    <row r="11" spans="1:20" ht="14.25" customHeight="1" thickBot="1">
      <c r="A11" s="144">
        <f ca="1">A10+TIME(,RAND()*1+(1-0),RAND()*10+5)</f>
        <v>3.2407407407407406E-3</v>
      </c>
      <c r="B11" s="140">
        <f t="shared" si="0"/>
        <v>9.891</v>
      </c>
      <c r="C11" s="20">
        <v>140</v>
      </c>
      <c r="D11" s="149">
        <v>1.06</v>
      </c>
      <c r="E11" s="22">
        <v>0.77</v>
      </c>
      <c r="F11" s="150">
        <f t="shared" si="1"/>
        <v>0.91500000000000004</v>
      </c>
      <c r="G11" s="23">
        <f t="shared" si="3"/>
        <v>0.91500000000000004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0.87</v>
      </c>
      <c r="T11" s="133">
        <f t="shared" si="2"/>
        <v>1.0150000000000001</v>
      </c>
    </row>
    <row r="12" spans="1:20" ht="14.25" customHeight="1" thickTop="1">
      <c r="A12" s="144">
        <f ca="1">A11+TIME(,RAND()*1+(1-0),RAND()*10+10)</f>
        <v>4.0509259259259257E-3</v>
      </c>
      <c r="B12" s="140">
        <f t="shared" si="0"/>
        <v>12.363750000000001</v>
      </c>
      <c r="C12" s="20">
        <v>175</v>
      </c>
      <c r="D12" s="149">
        <v>1.1599999999999999</v>
      </c>
      <c r="E12" s="22">
        <v>1.1000000000000001</v>
      </c>
      <c r="F12" s="150">
        <f t="shared" si="1"/>
        <v>1.1299999999999999</v>
      </c>
      <c r="G12" s="23">
        <f t="shared" si="3"/>
        <v>1.1299999999999999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1.2000000000000002</v>
      </c>
      <c r="T12" s="133">
        <f t="shared" si="2"/>
        <v>1.23</v>
      </c>
    </row>
    <row r="13" spans="1:20" ht="14.25" customHeight="1">
      <c r="A13" s="144">
        <f ca="1">A12+TIME(,RAND()*1+(1-0),RAND()*10+10)</f>
        <v>4.8611111111111112E-3</v>
      </c>
      <c r="B13" s="140">
        <f t="shared" si="0"/>
        <v>14.836500000000001</v>
      </c>
      <c r="C13" s="20">
        <v>210</v>
      </c>
      <c r="D13" s="149">
        <v>1.5</v>
      </c>
      <c r="E13" s="22">
        <v>1.1200000000000001</v>
      </c>
      <c r="F13" s="150">
        <f t="shared" si="1"/>
        <v>1.31</v>
      </c>
      <c r="G13" s="23">
        <f t="shared" si="3"/>
        <v>1.31</v>
      </c>
      <c r="H13" s="217" t="s">
        <v>16</v>
      </c>
      <c r="I13" s="218"/>
      <c r="J13" s="219" t="s">
        <v>23</v>
      </c>
      <c r="K13" s="30">
        <v>429</v>
      </c>
      <c r="L13" s="25">
        <f>M10</f>
        <v>429</v>
      </c>
      <c r="M13" s="26">
        <f>L13</f>
        <v>429</v>
      </c>
      <c r="N13" s="2"/>
      <c r="P13" s="3">
        <v>0.1</v>
      </c>
      <c r="Q13" s="3">
        <v>0.1</v>
      </c>
      <c r="S13" s="133">
        <f t="shared" si="2"/>
        <v>1.2200000000000002</v>
      </c>
      <c r="T13" s="133">
        <f t="shared" si="2"/>
        <v>1.4100000000000001</v>
      </c>
    </row>
    <row r="14" spans="1:20" ht="14.25" customHeight="1" thickBot="1">
      <c r="A14" s="144">
        <f ca="1">A13+TIME(,RAND()*1+(1-0),RAND()*10+10)</f>
        <v>5.6828703703703702E-3</v>
      </c>
      <c r="B14" s="140">
        <f t="shared" si="0"/>
        <v>17.309250000000002</v>
      </c>
      <c r="C14" s="20">
        <v>245</v>
      </c>
      <c r="D14" s="149">
        <v>1.74</v>
      </c>
      <c r="E14" s="22">
        <v>1.34</v>
      </c>
      <c r="F14" s="150">
        <f t="shared" si="1"/>
        <v>1.54</v>
      </c>
      <c r="G14" s="23">
        <f t="shared" si="3"/>
        <v>1.54</v>
      </c>
      <c r="H14" s="217"/>
      <c r="I14" s="218"/>
      <c r="J14" s="219"/>
      <c r="K14" s="17">
        <f>K13/2.5</f>
        <v>171.6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1.4400000000000002</v>
      </c>
      <c r="T14" s="133">
        <f t="shared" si="2"/>
        <v>1.6400000000000001</v>
      </c>
    </row>
    <row r="15" spans="1:20" ht="14.25" customHeight="1" thickTop="1" thickBot="1">
      <c r="A15" s="144">
        <f ca="1">A14+TIME(,RAND()*1+(1-0),RAND()*10+10)</f>
        <v>6.5046296296296293E-3</v>
      </c>
      <c r="B15" s="140">
        <f t="shared" si="0"/>
        <v>19.782</v>
      </c>
      <c r="C15" s="20">
        <v>280</v>
      </c>
      <c r="D15" s="149">
        <v>1.86</v>
      </c>
      <c r="E15" s="22">
        <v>1.36</v>
      </c>
      <c r="F15" s="150">
        <f t="shared" si="1"/>
        <v>1.61</v>
      </c>
      <c r="G15" s="23">
        <f t="shared" si="3"/>
        <v>1.61</v>
      </c>
      <c r="H15" s="217" t="s">
        <v>16</v>
      </c>
      <c r="I15" s="218"/>
      <c r="J15" s="220" t="s">
        <v>27</v>
      </c>
      <c r="K15" s="2">
        <f>ROUND(K14,1)*1.3</f>
        <v>223.08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1.4600000000000002</v>
      </c>
      <c r="T15" s="133">
        <f t="shared" si="2"/>
        <v>1.7100000000000002</v>
      </c>
    </row>
    <row r="16" spans="1:20" ht="14.25" customHeight="1">
      <c r="A16" s="144">
        <f ca="1">A15+TIME(,RAND()*1+(1-0),RAND()*10+10)</f>
        <v>7.3263888888888884E-3</v>
      </c>
      <c r="B16" s="140">
        <f t="shared" si="0"/>
        <v>22.254750000000001</v>
      </c>
      <c r="C16" s="20">
        <v>315</v>
      </c>
      <c r="D16" s="149">
        <v>1.97</v>
      </c>
      <c r="E16" s="22">
        <v>1.44</v>
      </c>
      <c r="F16" s="150">
        <f t="shared" si="1"/>
        <v>1.7050000000000001</v>
      </c>
      <c r="G16" s="23">
        <f t="shared" si="3"/>
        <v>1.7050000000000001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8.2291666666666659E-3</v>
      </c>
      <c r="B17" s="140">
        <f t="shared" si="0"/>
        <v>24.727500000000003</v>
      </c>
      <c r="C17" s="20">
        <v>350</v>
      </c>
      <c r="D17" s="149">
        <v>2.06</v>
      </c>
      <c r="E17" s="22">
        <v>1.48</v>
      </c>
      <c r="F17" s="150">
        <f t="shared" si="1"/>
        <v>1.77</v>
      </c>
      <c r="G17" s="23">
        <f t="shared" si="3"/>
        <v>1.77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9.0856481481481483E-3</v>
      </c>
      <c r="B18" s="140">
        <f t="shared" si="0"/>
        <v>27.20025</v>
      </c>
      <c r="C18" s="20">
        <v>385</v>
      </c>
      <c r="D18" s="149">
        <v>2.34</v>
      </c>
      <c r="E18" s="22">
        <v>1.79</v>
      </c>
      <c r="F18" s="150">
        <f t="shared" si="1"/>
        <v>2.0649999999999999</v>
      </c>
      <c r="G18" s="23">
        <f t="shared" si="3"/>
        <v>2.0649999999999999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9.9537037037037042E-3</v>
      </c>
      <c r="B19" s="140">
        <f t="shared" si="0"/>
        <v>29.673000000000002</v>
      </c>
      <c r="C19" s="20">
        <v>420</v>
      </c>
      <c r="D19" s="149">
        <v>2.68</v>
      </c>
      <c r="E19" s="22">
        <v>2.09</v>
      </c>
      <c r="F19" s="150">
        <f t="shared" si="1"/>
        <v>2.3849999999999998</v>
      </c>
      <c r="G19" s="23">
        <f t="shared" si="3"/>
        <v>2.3849999999999998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1.082175925925926E-2</v>
      </c>
      <c r="B20" s="140">
        <f t="shared" si="0"/>
        <v>32.14575</v>
      </c>
      <c r="C20" s="20">
        <v>455</v>
      </c>
      <c r="D20" s="149">
        <v>3</v>
      </c>
      <c r="E20" s="22">
        <v>2.4500000000000002</v>
      </c>
      <c r="F20" s="150">
        <f t="shared" si="1"/>
        <v>2.7250000000000001</v>
      </c>
      <c r="G20" s="23">
        <f t="shared" si="3"/>
        <v>2.7250000000000001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1.1678240740740743E-2</v>
      </c>
      <c r="B21" s="140">
        <f t="shared" si="0"/>
        <v>34.618500000000004</v>
      </c>
      <c r="C21" s="20">
        <v>490</v>
      </c>
      <c r="D21" s="149">
        <v>3.17</v>
      </c>
      <c r="E21" s="22">
        <v>2.85</v>
      </c>
      <c r="F21" s="150">
        <f t="shared" si="1"/>
        <v>3.01</v>
      </c>
      <c r="G21" s="23">
        <f t="shared" si="3"/>
        <v>3.01</v>
      </c>
      <c r="H21" s="204" t="str">
        <f>"K30  = "&amp;ROUND(K13,1)&amp;"÷2.5"</f>
        <v>K30  = 429÷2.5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171.6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171.6×1.3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223.08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171.6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40F0-6226-443C-A1A2-C03B26CE3C47}">
  <dimension ref="A1:T66"/>
  <sheetViews>
    <sheetView view="pageBreakPreview" topLeftCell="A10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List!B17</f>
        <v>46168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List!A17</f>
        <v>14</v>
      </c>
      <c r="C3" s="253"/>
      <c r="D3" s="253"/>
      <c r="E3" s="253"/>
      <c r="F3" s="45" t="s">
        <v>34</v>
      </c>
      <c r="G3" s="283" t="str">
        <f>List!C17</f>
        <v>중로(집) 3-14 (No.6 ~ No.9),소로(국)3-17  노체 8단(24층)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7.6388888888888893E-4</v>
      </c>
      <c r="B8" s="140">
        <f>C8*0.07065</f>
        <v>2.47275</v>
      </c>
      <c r="C8" s="20">
        <v>35</v>
      </c>
      <c r="D8" s="149">
        <v>0.26</v>
      </c>
      <c r="E8" s="22">
        <v>0.11</v>
      </c>
      <c r="F8" s="150">
        <f>IFERROR((D8+E8)/2," ")</f>
        <v>0.185</v>
      </c>
      <c r="G8" s="23">
        <f>F8-F7</f>
        <v>0.185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0.21000000000000002</v>
      </c>
      <c r="T8" s="133">
        <f>F8+Q8</f>
        <v>0.28500000000000003</v>
      </c>
    </row>
    <row r="9" spans="1:20" ht="14.25" customHeight="1" thickTop="1">
      <c r="A9" s="144">
        <f ca="1">A8+TIME(,RAND()*1+(1-0),RAND()*10+10)</f>
        <v>1.6435185185185185E-3</v>
      </c>
      <c r="B9" s="140">
        <f t="shared" ref="B9:B21" si="0">C9*0.07065</f>
        <v>4.9455</v>
      </c>
      <c r="C9" s="20">
        <v>70</v>
      </c>
      <c r="D9" s="149">
        <v>0.54</v>
      </c>
      <c r="E9" s="22">
        <v>0.45</v>
      </c>
      <c r="F9" s="150">
        <f t="shared" ref="F9:F21" si="1">IFERROR((D9+E9)/2," ")</f>
        <v>0.495</v>
      </c>
      <c r="G9" s="23">
        <f>F9-$F$7</f>
        <v>0.495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0.55000000000000004</v>
      </c>
      <c r="T9" s="133">
        <f t="shared" si="2"/>
        <v>0.59499999999999997</v>
      </c>
    </row>
    <row r="10" spans="1:20" ht="14.25" customHeight="1">
      <c r="A10" s="144">
        <f ca="1">A9+TIME(,RAND()*1+(1-0),RAND()*10+5)</f>
        <v>2.488425925925926E-3</v>
      </c>
      <c r="B10" s="140">
        <f t="shared" si="0"/>
        <v>7.4182500000000005</v>
      </c>
      <c r="C10" s="20">
        <v>105</v>
      </c>
      <c r="D10" s="149">
        <v>0.83</v>
      </c>
      <c r="E10" s="22">
        <v>0.79</v>
      </c>
      <c r="F10" s="150">
        <f t="shared" si="1"/>
        <v>0.81</v>
      </c>
      <c r="G10" s="23">
        <f t="shared" ref="G10:G21" si="3">F10-$F$7</f>
        <v>0.81</v>
      </c>
      <c r="H10" s="217"/>
      <c r="I10" s="218"/>
      <c r="J10" s="219"/>
      <c r="K10" s="24" t="s">
        <v>15</v>
      </c>
      <c r="L10" s="25">
        <v>0</v>
      </c>
      <c r="M10" s="62">
        <f>K13</f>
        <v>415</v>
      </c>
      <c r="N10" s="2"/>
      <c r="P10" s="3">
        <v>0.1</v>
      </c>
      <c r="Q10" s="3">
        <v>0.1</v>
      </c>
      <c r="S10" s="133">
        <f t="shared" si="2"/>
        <v>0.89</v>
      </c>
      <c r="T10" s="133">
        <f t="shared" si="2"/>
        <v>0.91</v>
      </c>
    </row>
    <row r="11" spans="1:20" ht="14.25" customHeight="1" thickBot="1">
      <c r="A11" s="144">
        <f ca="1">A10+TIME(,RAND()*1+(1-0),RAND()*10+5)</f>
        <v>3.3449074074074076E-3</v>
      </c>
      <c r="B11" s="140">
        <f t="shared" si="0"/>
        <v>9.891</v>
      </c>
      <c r="C11" s="20">
        <v>140</v>
      </c>
      <c r="D11" s="149">
        <v>0.92</v>
      </c>
      <c r="E11" s="22">
        <v>0.88</v>
      </c>
      <c r="F11" s="150">
        <f t="shared" si="1"/>
        <v>0.9</v>
      </c>
      <c r="G11" s="23">
        <f t="shared" si="3"/>
        <v>0.9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0.98</v>
      </c>
      <c r="T11" s="133">
        <f t="shared" si="2"/>
        <v>1</v>
      </c>
    </row>
    <row r="12" spans="1:20" ht="14.25" customHeight="1" thickTop="1">
      <c r="A12" s="144">
        <f ca="1">A11+TIME(,RAND()*1+(1-0),RAND()*10+10)</f>
        <v>4.2013888888888891E-3</v>
      </c>
      <c r="B12" s="140">
        <f t="shared" si="0"/>
        <v>12.363750000000001</v>
      </c>
      <c r="C12" s="20">
        <v>175</v>
      </c>
      <c r="D12" s="149">
        <v>1.33</v>
      </c>
      <c r="E12" s="22">
        <v>0.91</v>
      </c>
      <c r="F12" s="150">
        <f t="shared" si="1"/>
        <v>1.1200000000000001</v>
      </c>
      <c r="G12" s="23">
        <f t="shared" si="3"/>
        <v>1.1200000000000001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1.01</v>
      </c>
      <c r="T12" s="133">
        <f t="shared" si="2"/>
        <v>1.2200000000000002</v>
      </c>
    </row>
    <row r="13" spans="1:20" ht="14.25" customHeight="1">
      <c r="A13" s="144">
        <f ca="1">A12+TIME(,RAND()*1+(1-0),RAND()*10+10)</f>
        <v>5.0810185185185186E-3</v>
      </c>
      <c r="B13" s="140">
        <f t="shared" si="0"/>
        <v>14.836500000000001</v>
      </c>
      <c r="C13" s="20">
        <v>210</v>
      </c>
      <c r="D13" s="149">
        <v>1.48</v>
      </c>
      <c r="E13" s="22">
        <v>1.1200000000000001</v>
      </c>
      <c r="F13" s="150">
        <f t="shared" si="1"/>
        <v>1.3</v>
      </c>
      <c r="G13" s="23">
        <f t="shared" si="3"/>
        <v>1.3</v>
      </c>
      <c r="H13" s="217" t="s">
        <v>16</v>
      </c>
      <c r="I13" s="218"/>
      <c r="J13" s="219" t="s">
        <v>23</v>
      </c>
      <c r="K13" s="30">
        <v>415</v>
      </c>
      <c r="L13" s="25">
        <f>M10</f>
        <v>415</v>
      </c>
      <c r="M13" s="26">
        <f>L13</f>
        <v>415</v>
      </c>
      <c r="N13" s="2"/>
      <c r="P13" s="3">
        <v>0.1</v>
      </c>
      <c r="Q13" s="3">
        <v>0.1</v>
      </c>
      <c r="S13" s="133">
        <f t="shared" si="2"/>
        <v>1.2200000000000002</v>
      </c>
      <c r="T13" s="133">
        <f t="shared" si="2"/>
        <v>1.4000000000000001</v>
      </c>
    </row>
    <row r="14" spans="1:20" ht="14.25" customHeight="1" thickBot="1">
      <c r="A14" s="144">
        <f ca="1">A13+TIME(,RAND()*1+(1-0),RAND()*10+10)</f>
        <v>5.9375000000000001E-3</v>
      </c>
      <c r="B14" s="140">
        <f t="shared" si="0"/>
        <v>17.309250000000002</v>
      </c>
      <c r="C14" s="20">
        <v>245</v>
      </c>
      <c r="D14" s="149">
        <v>1.57</v>
      </c>
      <c r="E14" s="22">
        <v>1.29</v>
      </c>
      <c r="F14" s="150">
        <f t="shared" si="1"/>
        <v>1.4300000000000002</v>
      </c>
      <c r="G14" s="23">
        <f t="shared" si="3"/>
        <v>1.4300000000000002</v>
      </c>
      <c r="H14" s="217"/>
      <c r="I14" s="218"/>
      <c r="J14" s="219"/>
      <c r="K14" s="17">
        <f>K13/2.5</f>
        <v>166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1.3900000000000001</v>
      </c>
      <c r="T14" s="133">
        <f t="shared" si="2"/>
        <v>1.5300000000000002</v>
      </c>
    </row>
    <row r="15" spans="1:20" ht="14.25" customHeight="1" thickTop="1" thickBot="1">
      <c r="A15" s="144">
        <f ca="1">A14+TIME(,RAND()*1+(1-0),RAND()*10+10)</f>
        <v>6.8402777777777776E-3</v>
      </c>
      <c r="B15" s="140">
        <f t="shared" si="0"/>
        <v>19.782</v>
      </c>
      <c r="C15" s="20">
        <v>280</v>
      </c>
      <c r="D15" s="149">
        <v>1.85</v>
      </c>
      <c r="E15" s="22">
        <v>1.39</v>
      </c>
      <c r="F15" s="150">
        <f t="shared" si="1"/>
        <v>1.62</v>
      </c>
      <c r="G15" s="23">
        <f t="shared" si="3"/>
        <v>1.62</v>
      </c>
      <c r="H15" s="217" t="s">
        <v>16</v>
      </c>
      <c r="I15" s="218"/>
      <c r="J15" s="220" t="s">
        <v>27</v>
      </c>
      <c r="K15" s="2">
        <f>ROUND(K14,1)*1.3</f>
        <v>215.8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1.49</v>
      </c>
      <c r="T15" s="133">
        <f t="shared" si="2"/>
        <v>1.7200000000000002</v>
      </c>
    </row>
    <row r="16" spans="1:20" ht="14.25" customHeight="1">
      <c r="A16" s="144">
        <f ca="1">A15+TIME(,RAND()*1+(1-0),RAND()*10+10)</f>
        <v>7.6504629629629631E-3</v>
      </c>
      <c r="B16" s="140">
        <f t="shared" si="0"/>
        <v>22.254750000000001</v>
      </c>
      <c r="C16" s="20">
        <v>315</v>
      </c>
      <c r="D16" s="149">
        <v>2.12</v>
      </c>
      <c r="E16" s="22">
        <v>1.67</v>
      </c>
      <c r="F16" s="150">
        <f t="shared" si="1"/>
        <v>1.895</v>
      </c>
      <c r="G16" s="23">
        <f t="shared" si="3"/>
        <v>1.895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8.4606481481481477E-3</v>
      </c>
      <c r="B17" s="140">
        <f t="shared" si="0"/>
        <v>24.727500000000003</v>
      </c>
      <c r="C17" s="20">
        <v>350</v>
      </c>
      <c r="D17" s="149">
        <v>2.29</v>
      </c>
      <c r="E17" s="22">
        <v>1.77</v>
      </c>
      <c r="F17" s="150">
        <f t="shared" si="1"/>
        <v>2.0300000000000002</v>
      </c>
      <c r="G17" s="23">
        <f t="shared" si="3"/>
        <v>2.0300000000000002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9.3171296296296301E-3</v>
      </c>
      <c r="B18" s="140">
        <f t="shared" si="0"/>
        <v>27.20025</v>
      </c>
      <c r="C18" s="20">
        <v>385</v>
      </c>
      <c r="D18" s="149">
        <v>2.52</v>
      </c>
      <c r="E18" s="22">
        <v>2.0099999999999998</v>
      </c>
      <c r="F18" s="150">
        <f t="shared" si="1"/>
        <v>2.2649999999999997</v>
      </c>
      <c r="G18" s="23">
        <f t="shared" si="3"/>
        <v>2.2649999999999997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1.0231481481481482E-2</v>
      </c>
      <c r="B19" s="140">
        <f t="shared" si="0"/>
        <v>29.673000000000002</v>
      </c>
      <c r="C19" s="20">
        <v>420</v>
      </c>
      <c r="D19" s="149">
        <v>2.74</v>
      </c>
      <c r="E19" s="22">
        <v>2.2000000000000002</v>
      </c>
      <c r="F19" s="150">
        <f t="shared" si="1"/>
        <v>2.4700000000000002</v>
      </c>
      <c r="G19" s="23">
        <f t="shared" si="3"/>
        <v>2.4700000000000002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1.1064814814814816E-2</v>
      </c>
      <c r="B20" s="140">
        <f t="shared" si="0"/>
        <v>32.14575</v>
      </c>
      <c r="C20" s="20">
        <v>455</v>
      </c>
      <c r="D20" s="149">
        <v>2.92</v>
      </c>
      <c r="E20" s="22">
        <v>2.23</v>
      </c>
      <c r="F20" s="150">
        <f t="shared" si="1"/>
        <v>2.5750000000000002</v>
      </c>
      <c r="G20" s="23">
        <f t="shared" si="3"/>
        <v>2.5750000000000002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1.1909722222222223E-2</v>
      </c>
      <c r="B21" s="140">
        <f t="shared" si="0"/>
        <v>34.618500000000004</v>
      </c>
      <c r="C21" s="20">
        <v>490</v>
      </c>
      <c r="D21" s="149">
        <v>3.27</v>
      </c>
      <c r="E21" s="22">
        <v>2.25</v>
      </c>
      <c r="F21" s="150">
        <f t="shared" si="1"/>
        <v>2.76</v>
      </c>
      <c r="G21" s="23">
        <f t="shared" si="3"/>
        <v>2.76</v>
      </c>
      <c r="H21" s="204" t="str">
        <f>"K30  = "&amp;ROUND(K13,1)&amp;"÷2.5"</f>
        <v>K30  = 415÷2.5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215.8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16BF-B87F-4169-9387-29A0D8F70B8A}">
  <dimension ref="A1:T66"/>
  <sheetViews>
    <sheetView view="pageBreakPreview" topLeftCell="A16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List!B16</f>
        <v>46168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List!A16</f>
        <v>13</v>
      </c>
      <c r="C3" s="253"/>
      <c r="D3" s="253"/>
      <c r="E3" s="253"/>
      <c r="F3" s="45" t="s">
        <v>34</v>
      </c>
      <c r="G3" s="283" t="str">
        <f>List!C16</f>
        <v>중로(집) 3-14 (No.6 ~ No.9),소로(국)3-17  노체 7단(21층)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7.7546296296296293E-4</v>
      </c>
      <c r="B8" s="140">
        <f>C8*0.07065</f>
        <v>2.47275</v>
      </c>
      <c r="C8" s="20">
        <v>35</v>
      </c>
      <c r="D8" s="149">
        <v>0.36</v>
      </c>
      <c r="E8" s="22">
        <v>0.04</v>
      </c>
      <c r="F8" s="150">
        <f>IFERROR((D8+E8)/2," ")</f>
        <v>0.19999999999999998</v>
      </c>
      <c r="G8" s="23">
        <f>F8-F7</f>
        <v>0.19999999999999998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0.14000000000000001</v>
      </c>
      <c r="T8" s="133">
        <f>F8+Q8</f>
        <v>0.3</v>
      </c>
    </row>
    <row r="9" spans="1:20" ht="14.25" customHeight="1" thickTop="1">
      <c r="A9" s="144">
        <f ca="1">A8+TIME(,RAND()*1+(1-0),RAND()*10+10)</f>
        <v>1.6550925925925926E-3</v>
      </c>
      <c r="B9" s="140">
        <f t="shared" ref="B9:B21" si="0">C9*0.07065</f>
        <v>4.9455</v>
      </c>
      <c r="C9" s="20">
        <v>70</v>
      </c>
      <c r="D9" s="149">
        <v>0.41</v>
      </c>
      <c r="E9" s="22">
        <v>0.33</v>
      </c>
      <c r="F9" s="150">
        <f t="shared" ref="F9:F21" si="1">IFERROR((D9+E9)/2," ")</f>
        <v>0.37</v>
      </c>
      <c r="G9" s="23">
        <f>F9-$F$7</f>
        <v>0.37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0.43000000000000005</v>
      </c>
      <c r="T9" s="133">
        <f t="shared" si="2"/>
        <v>0.47</v>
      </c>
    </row>
    <row r="10" spans="1:20" ht="14.25" customHeight="1">
      <c r="A10" s="144">
        <f ca="1">A9+TIME(,RAND()*1+(1-0),RAND()*10+5)</f>
        <v>2.4305555555555556E-3</v>
      </c>
      <c r="B10" s="140">
        <f t="shared" si="0"/>
        <v>7.4182500000000005</v>
      </c>
      <c r="C10" s="20">
        <v>105</v>
      </c>
      <c r="D10" s="149">
        <v>0.65</v>
      </c>
      <c r="E10" s="22">
        <v>0.43</v>
      </c>
      <c r="F10" s="150">
        <f t="shared" si="1"/>
        <v>0.54</v>
      </c>
      <c r="G10" s="23">
        <f t="shared" ref="G10:G21" si="3">F10-$F$7</f>
        <v>0.54</v>
      </c>
      <c r="H10" s="217"/>
      <c r="I10" s="218"/>
      <c r="J10" s="219"/>
      <c r="K10" s="24" t="s">
        <v>15</v>
      </c>
      <c r="L10" s="25">
        <v>0</v>
      </c>
      <c r="M10" s="62">
        <f>K13</f>
        <v>407</v>
      </c>
      <c r="N10" s="2"/>
      <c r="P10" s="3">
        <v>0.1</v>
      </c>
      <c r="Q10" s="3">
        <v>0.1</v>
      </c>
      <c r="S10" s="133">
        <f t="shared" si="2"/>
        <v>0.53</v>
      </c>
      <c r="T10" s="133">
        <f t="shared" si="2"/>
        <v>0.64</v>
      </c>
    </row>
    <row r="11" spans="1:20" ht="14.25" customHeight="1" thickBot="1">
      <c r="A11" s="144">
        <f ca="1">A10+TIME(,RAND()*1+(1-0),RAND()*10+5)</f>
        <v>3.2870370370370371E-3</v>
      </c>
      <c r="B11" s="140">
        <f t="shared" si="0"/>
        <v>9.891</v>
      </c>
      <c r="C11" s="20">
        <v>140</v>
      </c>
      <c r="D11" s="149">
        <v>0.95</v>
      </c>
      <c r="E11" s="22">
        <v>0.66</v>
      </c>
      <c r="F11" s="150">
        <f t="shared" si="1"/>
        <v>0.80499999999999994</v>
      </c>
      <c r="G11" s="23">
        <f t="shared" si="3"/>
        <v>0.80499999999999994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0.76</v>
      </c>
      <c r="T11" s="133">
        <f t="shared" si="2"/>
        <v>0.90499999999999992</v>
      </c>
    </row>
    <row r="12" spans="1:20" ht="14.25" customHeight="1" thickTop="1">
      <c r="A12" s="144">
        <f ca="1">A11+TIME(,RAND()*1+(1-0),RAND()*10+10)</f>
        <v>4.1203703703703706E-3</v>
      </c>
      <c r="B12" s="140">
        <f t="shared" si="0"/>
        <v>12.363750000000001</v>
      </c>
      <c r="C12" s="20">
        <v>175</v>
      </c>
      <c r="D12" s="149">
        <v>1.03</v>
      </c>
      <c r="E12" s="22">
        <v>0.96</v>
      </c>
      <c r="F12" s="150">
        <f t="shared" si="1"/>
        <v>0.995</v>
      </c>
      <c r="G12" s="23">
        <f t="shared" si="3"/>
        <v>0.995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1.06</v>
      </c>
      <c r="T12" s="133">
        <f t="shared" si="2"/>
        <v>1.095</v>
      </c>
    </row>
    <row r="13" spans="1:20" ht="14.25" customHeight="1">
      <c r="A13" s="144">
        <f ca="1">A12+TIME(,RAND()*1+(1-0),RAND()*10+10)</f>
        <v>4.9884259259259257E-3</v>
      </c>
      <c r="B13" s="140">
        <f t="shared" si="0"/>
        <v>14.836500000000001</v>
      </c>
      <c r="C13" s="20">
        <v>210</v>
      </c>
      <c r="D13" s="149">
        <v>1.45</v>
      </c>
      <c r="E13" s="22">
        <v>1.27</v>
      </c>
      <c r="F13" s="150">
        <f t="shared" si="1"/>
        <v>1.3599999999999999</v>
      </c>
      <c r="G13" s="23">
        <f t="shared" si="3"/>
        <v>1.3599999999999999</v>
      </c>
      <c r="H13" s="217" t="s">
        <v>16</v>
      </c>
      <c r="I13" s="218"/>
      <c r="J13" s="219" t="s">
        <v>23</v>
      </c>
      <c r="K13" s="30">
        <v>407</v>
      </c>
      <c r="L13" s="25">
        <f>M10</f>
        <v>407</v>
      </c>
      <c r="M13" s="26">
        <f>L13</f>
        <v>407</v>
      </c>
      <c r="N13" s="2"/>
      <c r="P13" s="3">
        <v>0.1</v>
      </c>
      <c r="Q13" s="3">
        <v>0.1</v>
      </c>
      <c r="S13" s="133">
        <f t="shared" si="2"/>
        <v>1.37</v>
      </c>
      <c r="T13" s="133">
        <f t="shared" si="2"/>
        <v>1.46</v>
      </c>
    </row>
    <row r="14" spans="1:20" ht="14.25" customHeight="1" thickBot="1">
      <c r="A14" s="144">
        <f ca="1">A13+TIME(,RAND()*1+(1-0),RAND()*10+10)</f>
        <v>5.8101851851851847E-3</v>
      </c>
      <c r="B14" s="140">
        <f t="shared" si="0"/>
        <v>17.309250000000002</v>
      </c>
      <c r="C14" s="20">
        <v>245</v>
      </c>
      <c r="D14" s="149">
        <v>1.8</v>
      </c>
      <c r="E14" s="22">
        <v>1.55</v>
      </c>
      <c r="F14" s="150">
        <f t="shared" si="1"/>
        <v>1.675</v>
      </c>
      <c r="G14" s="23">
        <f t="shared" si="3"/>
        <v>1.675</v>
      </c>
      <c r="H14" s="217"/>
      <c r="I14" s="218"/>
      <c r="J14" s="219"/>
      <c r="K14" s="17">
        <f>K13/2.5</f>
        <v>162.80000000000001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1.6500000000000001</v>
      </c>
      <c r="T14" s="133">
        <f t="shared" si="2"/>
        <v>1.7750000000000001</v>
      </c>
    </row>
    <row r="15" spans="1:20" ht="14.25" customHeight="1" thickTop="1" thickBot="1">
      <c r="A15" s="144">
        <f ca="1">A14+TIME(,RAND()*1+(1-0),RAND()*10+10)</f>
        <v>6.6898148148148142E-3</v>
      </c>
      <c r="B15" s="140">
        <f t="shared" si="0"/>
        <v>19.782</v>
      </c>
      <c r="C15" s="20">
        <v>280</v>
      </c>
      <c r="D15" s="149">
        <v>1.94</v>
      </c>
      <c r="E15" s="22">
        <v>1.96</v>
      </c>
      <c r="F15" s="150">
        <f t="shared" si="1"/>
        <v>1.95</v>
      </c>
      <c r="G15" s="23">
        <f t="shared" si="3"/>
        <v>1.95</v>
      </c>
      <c r="H15" s="217" t="s">
        <v>16</v>
      </c>
      <c r="I15" s="218"/>
      <c r="J15" s="220" t="s">
        <v>27</v>
      </c>
      <c r="K15" s="2">
        <f>ROUND(K14,1)*1.3</f>
        <v>211.64000000000001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2.06</v>
      </c>
      <c r="T15" s="133">
        <f t="shared" si="2"/>
        <v>2.0499999999999998</v>
      </c>
    </row>
    <row r="16" spans="1:20" ht="14.25" customHeight="1">
      <c r="A16" s="144">
        <f ca="1">A15+TIME(,RAND()*1+(1-0),RAND()*10+10)</f>
        <v>7.6041666666666662E-3</v>
      </c>
      <c r="B16" s="140">
        <f t="shared" si="0"/>
        <v>22.254750000000001</v>
      </c>
      <c r="C16" s="20">
        <v>315</v>
      </c>
      <c r="D16" s="149">
        <v>2.09</v>
      </c>
      <c r="E16" s="22">
        <v>2.11</v>
      </c>
      <c r="F16" s="150">
        <f t="shared" si="1"/>
        <v>2.0999999999999996</v>
      </c>
      <c r="G16" s="23">
        <f t="shared" si="3"/>
        <v>2.0999999999999996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8.4722222222222213E-3</v>
      </c>
      <c r="B17" s="140">
        <f t="shared" si="0"/>
        <v>24.727500000000003</v>
      </c>
      <c r="C17" s="20">
        <v>350</v>
      </c>
      <c r="D17" s="149">
        <v>2.13</v>
      </c>
      <c r="E17" s="22">
        <v>2.2000000000000002</v>
      </c>
      <c r="F17" s="150">
        <f t="shared" si="1"/>
        <v>2.165</v>
      </c>
      <c r="G17" s="23">
        <f t="shared" si="3"/>
        <v>2.165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9.3634259259259243E-3</v>
      </c>
      <c r="B18" s="140">
        <f t="shared" si="0"/>
        <v>27.20025</v>
      </c>
      <c r="C18" s="20">
        <v>385</v>
      </c>
      <c r="D18" s="149">
        <v>2.29</v>
      </c>
      <c r="E18" s="22">
        <v>2.21</v>
      </c>
      <c r="F18" s="150">
        <f t="shared" si="1"/>
        <v>2.25</v>
      </c>
      <c r="G18" s="23">
        <f t="shared" si="3"/>
        <v>2.25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1.0254629629629627E-2</v>
      </c>
      <c r="B19" s="140">
        <f t="shared" si="0"/>
        <v>29.673000000000002</v>
      </c>
      <c r="C19" s="20">
        <v>420</v>
      </c>
      <c r="D19" s="149">
        <v>2.4900000000000002</v>
      </c>
      <c r="E19" s="22">
        <v>2.5299999999999998</v>
      </c>
      <c r="F19" s="150">
        <f t="shared" si="1"/>
        <v>2.5099999999999998</v>
      </c>
      <c r="G19" s="23">
        <f t="shared" si="3"/>
        <v>2.5099999999999998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1.1099537037037034E-2</v>
      </c>
      <c r="B20" s="140">
        <f t="shared" si="0"/>
        <v>32.14575</v>
      </c>
      <c r="C20" s="20">
        <v>455</v>
      </c>
      <c r="D20" s="149">
        <v>2.65</v>
      </c>
      <c r="E20" s="22">
        <v>2.93</v>
      </c>
      <c r="F20" s="150">
        <f t="shared" si="1"/>
        <v>2.79</v>
      </c>
      <c r="G20" s="23">
        <f t="shared" si="3"/>
        <v>2.79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1.1909722222222219E-2</v>
      </c>
      <c r="B21" s="140">
        <f t="shared" si="0"/>
        <v>34.618500000000004</v>
      </c>
      <c r="C21" s="20">
        <v>490</v>
      </c>
      <c r="D21" s="149">
        <v>2.89</v>
      </c>
      <c r="E21" s="22">
        <v>3.16</v>
      </c>
      <c r="F21" s="150">
        <f t="shared" si="1"/>
        <v>3.0250000000000004</v>
      </c>
      <c r="G21" s="23">
        <f t="shared" si="3"/>
        <v>3.0250000000000004</v>
      </c>
      <c r="H21" s="204" t="str">
        <f>"K30  = "&amp;ROUND(K13,1)&amp;"÷2.5"</f>
        <v>K30  = 407÷2.5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162.80000000000001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162.8×1.3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211.64000000000001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162.8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886B-6061-4C71-B619-9CAEE87A3A25}">
  <dimension ref="A1:T66"/>
  <sheetViews>
    <sheetView view="pageBreakPreview" topLeftCell="A7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List!B15</f>
        <v>46164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List!A15</f>
        <v>12</v>
      </c>
      <c r="C3" s="253"/>
      <c r="D3" s="253"/>
      <c r="E3" s="253"/>
      <c r="F3" s="45" t="s">
        <v>34</v>
      </c>
      <c r="G3" s="281" t="str">
        <f>List!C15</f>
        <v>중로(집) 3-16 (No.36 ~ No.41) 노체 6단(18층)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7.8703703703703705E-4</v>
      </c>
      <c r="B8" s="140">
        <f>C8*0.07065</f>
        <v>2.47275</v>
      </c>
      <c r="C8" s="20">
        <v>35</v>
      </c>
      <c r="D8" s="149">
        <v>0.06</v>
      </c>
      <c r="E8" s="22">
        <v>0.28000000000000003</v>
      </c>
      <c r="F8" s="150">
        <f>IFERROR((D8+E8)/2," ")</f>
        <v>0.17</v>
      </c>
      <c r="G8" s="23">
        <f>F8-F7</f>
        <v>0.17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0.38</v>
      </c>
      <c r="T8" s="133">
        <f>F8+Q8</f>
        <v>0.27</v>
      </c>
    </row>
    <row r="9" spans="1:20" ht="14.25" customHeight="1" thickTop="1">
      <c r="A9" s="144">
        <f ca="1">A8+TIME(,RAND()*1+(1-0),RAND()*10+10)</f>
        <v>1.5972222222222221E-3</v>
      </c>
      <c r="B9" s="140">
        <f t="shared" ref="B9:B21" si="0">C9*0.07065</f>
        <v>4.9455</v>
      </c>
      <c r="C9" s="20">
        <v>70</v>
      </c>
      <c r="D9" s="149">
        <v>0.33</v>
      </c>
      <c r="E9" s="22">
        <v>0.67</v>
      </c>
      <c r="F9" s="150">
        <f t="shared" ref="F9:F21" si="1">IFERROR((D9+E9)/2," ")</f>
        <v>0.5</v>
      </c>
      <c r="G9" s="23">
        <f>F9-$F$7</f>
        <v>0.5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0.77</v>
      </c>
      <c r="T9" s="133">
        <f t="shared" si="2"/>
        <v>0.6</v>
      </c>
    </row>
    <row r="10" spans="1:20" ht="14.25" customHeight="1">
      <c r="A10" s="144">
        <f ca="1">A9+TIME(,RAND()*1+(1-0),RAND()*10+5)</f>
        <v>2.3495370370370371E-3</v>
      </c>
      <c r="B10" s="140">
        <f t="shared" si="0"/>
        <v>7.4182500000000005</v>
      </c>
      <c r="C10" s="20">
        <v>105</v>
      </c>
      <c r="D10" s="149">
        <v>0.41</v>
      </c>
      <c r="E10" s="22">
        <v>0.85</v>
      </c>
      <c r="F10" s="150">
        <f t="shared" si="1"/>
        <v>0.63</v>
      </c>
      <c r="G10" s="23">
        <f t="shared" ref="G10:G21" si="3">F10-$F$7</f>
        <v>0.63</v>
      </c>
      <c r="H10" s="217"/>
      <c r="I10" s="218"/>
      <c r="J10" s="219"/>
      <c r="K10" s="24" t="s">
        <v>15</v>
      </c>
      <c r="L10" s="25">
        <v>0</v>
      </c>
      <c r="M10" s="62">
        <f>K13</f>
        <v>416</v>
      </c>
      <c r="N10" s="2"/>
      <c r="P10" s="3">
        <v>0.1</v>
      </c>
      <c r="Q10" s="3">
        <v>0.1</v>
      </c>
      <c r="S10" s="133">
        <f t="shared" si="2"/>
        <v>0.95</v>
      </c>
      <c r="T10" s="133">
        <f t="shared" si="2"/>
        <v>0.73</v>
      </c>
    </row>
    <row r="11" spans="1:20" ht="14.25" customHeight="1" thickBot="1">
      <c r="A11" s="144">
        <f ca="1">A10+TIME(,RAND()*1+(1-0),RAND()*10+5)</f>
        <v>3.1828703703703706E-3</v>
      </c>
      <c r="B11" s="140">
        <f t="shared" si="0"/>
        <v>9.891</v>
      </c>
      <c r="C11" s="20">
        <v>140</v>
      </c>
      <c r="D11" s="149">
        <v>0.47</v>
      </c>
      <c r="E11" s="22">
        <v>1.07</v>
      </c>
      <c r="F11" s="150">
        <f t="shared" si="1"/>
        <v>0.77</v>
      </c>
      <c r="G11" s="23">
        <f t="shared" si="3"/>
        <v>0.77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1.1700000000000002</v>
      </c>
      <c r="T11" s="133">
        <f t="shared" si="2"/>
        <v>0.87</v>
      </c>
    </row>
    <row r="12" spans="1:20" ht="14.25" customHeight="1" thickTop="1">
      <c r="A12" s="144">
        <f ca="1">A11+TIME(,RAND()*1+(1-0),RAND()*10+10)</f>
        <v>4.0509259259259266E-3</v>
      </c>
      <c r="B12" s="140">
        <f t="shared" si="0"/>
        <v>12.363750000000001</v>
      </c>
      <c r="C12" s="20">
        <v>175</v>
      </c>
      <c r="D12" s="149">
        <v>0.89</v>
      </c>
      <c r="E12" s="22">
        <v>1.26</v>
      </c>
      <c r="F12" s="150">
        <f t="shared" si="1"/>
        <v>1.075</v>
      </c>
      <c r="G12" s="23">
        <f t="shared" si="3"/>
        <v>1.075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1.36</v>
      </c>
      <c r="T12" s="133">
        <f t="shared" si="2"/>
        <v>1.175</v>
      </c>
    </row>
    <row r="13" spans="1:20" ht="14.25" customHeight="1">
      <c r="A13" s="144">
        <f ca="1">A12+TIME(,RAND()*1+(1-0),RAND()*10+10)</f>
        <v>4.8726851851851856E-3</v>
      </c>
      <c r="B13" s="140">
        <f t="shared" si="0"/>
        <v>14.836500000000001</v>
      </c>
      <c r="C13" s="20">
        <v>210</v>
      </c>
      <c r="D13" s="149">
        <v>1.18</v>
      </c>
      <c r="E13" s="22">
        <v>1.34</v>
      </c>
      <c r="F13" s="150">
        <f t="shared" si="1"/>
        <v>1.26</v>
      </c>
      <c r="G13" s="23">
        <f t="shared" si="3"/>
        <v>1.26</v>
      </c>
      <c r="H13" s="217" t="s">
        <v>16</v>
      </c>
      <c r="I13" s="218"/>
      <c r="J13" s="219" t="s">
        <v>23</v>
      </c>
      <c r="K13" s="30">
        <v>416</v>
      </c>
      <c r="L13" s="25">
        <f>M10</f>
        <v>416</v>
      </c>
      <c r="M13" s="26">
        <f>L13</f>
        <v>416</v>
      </c>
      <c r="N13" s="2"/>
      <c r="P13" s="3">
        <v>0.1</v>
      </c>
      <c r="Q13" s="3">
        <v>0.1</v>
      </c>
      <c r="S13" s="133">
        <f t="shared" si="2"/>
        <v>1.4400000000000002</v>
      </c>
      <c r="T13" s="133">
        <f t="shared" si="2"/>
        <v>1.36</v>
      </c>
    </row>
    <row r="14" spans="1:20" ht="14.25" customHeight="1" thickBot="1">
      <c r="A14" s="144">
        <f ca="1">A13+TIME(,RAND()*1+(1-0),RAND()*10+10)</f>
        <v>5.7754629629629631E-3</v>
      </c>
      <c r="B14" s="140">
        <f t="shared" si="0"/>
        <v>17.309250000000002</v>
      </c>
      <c r="C14" s="20">
        <v>245</v>
      </c>
      <c r="D14" s="149">
        <v>1.45</v>
      </c>
      <c r="E14" s="22">
        <v>1.67</v>
      </c>
      <c r="F14" s="150">
        <f t="shared" si="1"/>
        <v>1.56</v>
      </c>
      <c r="G14" s="23">
        <f t="shared" si="3"/>
        <v>1.56</v>
      </c>
      <c r="H14" s="217"/>
      <c r="I14" s="218"/>
      <c r="J14" s="219"/>
      <c r="K14" s="17">
        <f>K13/2.5</f>
        <v>166.4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1.77</v>
      </c>
      <c r="T14" s="133">
        <f t="shared" si="2"/>
        <v>1.6600000000000001</v>
      </c>
    </row>
    <row r="15" spans="1:20" ht="14.25" customHeight="1" thickTop="1" thickBot="1">
      <c r="A15" s="144">
        <f ca="1">A14+TIME(,RAND()*1+(1-0),RAND()*10+10)</f>
        <v>6.6087962962962966E-3</v>
      </c>
      <c r="B15" s="140">
        <f t="shared" si="0"/>
        <v>19.782</v>
      </c>
      <c r="C15" s="20">
        <v>280</v>
      </c>
      <c r="D15" s="149">
        <v>1.59</v>
      </c>
      <c r="E15" s="22">
        <v>1.93</v>
      </c>
      <c r="F15" s="150">
        <f t="shared" si="1"/>
        <v>1.76</v>
      </c>
      <c r="G15" s="23">
        <f t="shared" si="3"/>
        <v>1.76</v>
      </c>
      <c r="H15" s="217" t="s">
        <v>16</v>
      </c>
      <c r="I15" s="218"/>
      <c r="J15" s="220" t="s">
        <v>27</v>
      </c>
      <c r="K15" s="2">
        <f>ROUND(K14,1)*1.3</f>
        <v>216.32000000000002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2.0299999999999998</v>
      </c>
      <c r="T15" s="133">
        <f t="shared" si="2"/>
        <v>1.86</v>
      </c>
    </row>
    <row r="16" spans="1:20" ht="14.25" customHeight="1">
      <c r="A16" s="144">
        <f ca="1">A15+TIME(,RAND()*1+(1-0),RAND()*10+10)</f>
        <v>7.5115740740740742E-3</v>
      </c>
      <c r="B16" s="140">
        <f t="shared" si="0"/>
        <v>22.254750000000001</v>
      </c>
      <c r="C16" s="20">
        <v>315</v>
      </c>
      <c r="D16" s="149">
        <v>1.68</v>
      </c>
      <c r="E16" s="22">
        <v>2.11</v>
      </c>
      <c r="F16" s="150">
        <f t="shared" si="1"/>
        <v>1.895</v>
      </c>
      <c r="G16" s="23">
        <f t="shared" si="3"/>
        <v>1.895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8.4259259259259253E-3</v>
      </c>
      <c r="B17" s="140">
        <f t="shared" si="0"/>
        <v>24.727500000000003</v>
      </c>
      <c r="C17" s="20">
        <v>350</v>
      </c>
      <c r="D17" s="149">
        <v>1.76</v>
      </c>
      <c r="E17" s="22">
        <v>2.16</v>
      </c>
      <c r="F17" s="150">
        <f t="shared" si="1"/>
        <v>1.96</v>
      </c>
      <c r="G17" s="23">
        <f t="shared" si="3"/>
        <v>1.96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9.2476851851851852E-3</v>
      </c>
      <c r="B18" s="140">
        <f t="shared" si="0"/>
        <v>27.20025</v>
      </c>
      <c r="C18" s="20">
        <v>385</v>
      </c>
      <c r="D18" s="149">
        <v>2.17</v>
      </c>
      <c r="E18" s="22">
        <v>2.46</v>
      </c>
      <c r="F18" s="150">
        <f t="shared" si="1"/>
        <v>2.3149999999999999</v>
      </c>
      <c r="G18" s="23">
        <f t="shared" si="3"/>
        <v>2.3149999999999999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1.0069444444444445E-2</v>
      </c>
      <c r="B19" s="140">
        <f t="shared" si="0"/>
        <v>29.673000000000002</v>
      </c>
      <c r="C19" s="20">
        <v>420</v>
      </c>
      <c r="D19" s="149">
        <v>2.21</v>
      </c>
      <c r="E19" s="22">
        <v>2.75</v>
      </c>
      <c r="F19" s="150">
        <f t="shared" si="1"/>
        <v>2.48</v>
      </c>
      <c r="G19" s="23">
        <f t="shared" si="3"/>
        <v>2.48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1.0960648148148148E-2</v>
      </c>
      <c r="B20" s="140">
        <f t="shared" si="0"/>
        <v>32.14575</v>
      </c>
      <c r="C20" s="20">
        <v>455</v>
      </c>
      <c r="D20" s="149">
        <v>2.23</v>
      </c>
      <c r="E20" s="22">
        <v>3.03</v>
      </c>
      <c r="F20" s="150">
        <f t="shared" si="1"/>
        <v>2.63</v>
      </c>
      <c r="G20" s="23">
        <f t="shared" si="3"/>
        <v>2.63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1.1793981481481482E-2</v>
      </c>
      <c r="B21" s="140">
        <f t="shared" si="0"/>
        <v>34.618500000000004</v>
      </c>
      <c r="C21" s="20">
        <v>490</v>
      </c>
      <c r="D21" s="149">
        <v>2.2799999999999998</v>
      </c>
      <c r="E21" s="22">
        <v>3.43</v>
      </c>
      <c r="F21" s="150">
        <f t="shared" si="1"/>
        <v>2.855</v>
      </c>
      <c r="G21" s="23">
        <f t="shared" si="3"/>
        <v>2.855</v>
      </c>
      <c r="H21" s="204" t="str">
        <f>"K30  = "&amp;ROUND(K13,1)&amp;"÷2.5"</f>
        <v>K30  = 416÷2.5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166.4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166.4×1.3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216.32000000000002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166.4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11B4-68CC-4CCF-AB41-C50161ECC992}">
  <dimension ref="A1:T66"/>
  <sheetViews>
    <sheetView view="pageBreakPreview" topLeftCell="A16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List!B14</f>
        <v>46164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List!A14</f>
        <v>11</v>
      </c>
      <c r="C3" s="253"/>
      <c r="D3" s="253"/>
      <c r="E3" s="253"/>
      <c r="F3" s="45" t="s">
        <v>34</v>
      </c>
      <c r="G3" s="281" t="str">
        <f>List!C14</f>
        <v>중로(집) 3-16 (No.36 ~ No.41) 노체 5단(15층)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7.5231481481481482E-4</v>
      </c>
      <c r="B8" s="140">
        <f>C8*0.07065</f>
        <v>2.47275</v>
      </c>
      <c r="C8" s="20">
        <v>35</v>
      </c>
      <c r="D8" s="149">
        <v>0.28999999999999998</v>
      </c>
      <c r="E8" s="22">
        <v>0.1</v>
      </c>
      <c r="F8" s="150">
        <f>IFERROR((D8+E8)/2," ")</f>
        <v>0.19500000000000001</v>
      </c>
      <c r="G8" s="23">
        <f>F8-F7</f>
        <v>0.19500000000000001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</v>
      </c>
      <c r="T8" s="133">
        <f>F8+Q8</f>
        <v>0.29500000000000004</v>
      </c>
    </row>
    <row r="9" spans="1:20" ht="14.25" customHeight="1" thickTop="1">
      <c r="A9" s="144">
        <f ca="1">A8+TIME(,RAND()*1+(1-0),RAND()*10+10)</f>
        <v>1.6666666666666666E-3</v>
      </c>
      <c r="B9" s="140">
        <f t="shared" ref="B9:B21" si="0">C9*0.07065</f>
        <v>4.9455</v>
      </c>
      <c r="C9" s="20">
        <v>70</v>
      </c>
      <c r="D9" s="149">
        <v>0.67</v>
      </c>
      <c r="E9" s="22">
        <v>0.16</v>
      </c>
      <c r="F9" s="150">
        <f t="shared" ref="F9:F21" si="1">IFERROR((D9+E9)/2," ")</f>
        <v>0.41500000000000004</v>
      </c>
      <c r="G9" s="23">
        <f>F9-$F$7</f>
        <v>0.41500000000000004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0.26</v>
      </c>
      <c r="T9" s="133">
        <f t="shared" si="2"/>
        <v>0.51500000000000001</v>
      </c>
    </row>
    <row r="10" spans="1:20" ht="14.25" customHeight="1">
      <c r="A10" s="144">
        <f ca="1">A9+TIME(,RAND()*1+(1-0),RAND()*10+5)</f>
        <v>2.4189814814814812E-3</v>
      </c>
      <c r="B10" s="140">
        <f t="shared" si="0"/>
        <v>7.4182500000000005</v>
      </c>
      <c r="C10" s="20">
        <v>105</v>
      </c>
      <c r="D10" s="149">
        <v>0.85</v>
      </c>
      <c r="E10" s="22">
        <v>0.4</v>
      </c>
      <c r="F10" s="150">
        <f t="shared" si="1"/>
        <v>0.625</v>
      </c>
      <c r="G10" s="23">
        <f t="shared" ref="G10:G21" si="3">F10-$F$7</f>
        <v>0.625</v>
      </c>
      <c r="H10" s="217"/>
      <c r="I10" s="218"/>
      <c r="J10" s="219"/>
      <c r="K10" s="24" t="s">
        <v>15</v>
      </c>
      <c r="L10" s="25">
        <v>0</v>
      </c>
      <c r="M10" s="62">
        <f>K13</f>
        <v>408</v>
      </c>
      <c r="N10" s="2"/>
      <c r="P10" s="3">
        <v>0.1</v>
      </c>
      <c r="Q10" s="3">
        <v>0.1</v>
      </c>
      <c r="S10" s="133">
        <f t="shared" si="2"/>
        <v>0.5</v>
      </c>
      <c r="T10" s="133">
        <f t="shared" si="2"/>
        <v>0.72499999999999998</v>
      </c>
    </row>
    <row r="11" spans="1:20" ht="14.25" customHeight="1" thickBot="1">
      <c r="A11" s="144">
        <f ca="1">A10+TIME(,RAND()*1+(1-0),RAND()*10+5)</f>
        <v>3.1712962962962962E-3</v>
      </c>
      <c r="B11" s="140">
        <f t="shared" si="0"/>
        <v>9.891</v>
      </c>
      <c r="C11" s="20">
        <v>140</v>
      </c>
      <c r="D11" s="149">
        <v>1.02</v>
      </c>
      <c r="E11" s="22">
        <v>0.62</v>
      </c>
      <c r="F11" s="150">
        <f t="shared" si="1"/>
        <v>0.82000000000000006</v>
      </c>
      <c r="G11" s="23">
        <f t="shared" si="3"/>
        <v>0.82000000000000006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0.72</v>
      </c>
      <c r="T11" s="133">
        <f t="shared" si="2"/>
        <v>0.92</v>
      </c>
    </row>
    <row r="12" spans="1:20" ht="14.25" customHeight="1" thickTop="1">
      <c r="A12" s="144">
        <f ca="1">A11+TIME(,RAND()*1+(1-0),RAND()*10+10)</f>
        <v>4.0393518518518513E-3</v>
      </c>
      <c r="B12" s="140">
        <f t="shared" si="0"/>
        <v>12.363750000000001</v>
      </c>
      <c r="C12" s="20">
        <v>175</v>
      </c>
      <c r="D12" s="149">
        <v>1.21</v>
      </c>
      <c r="E12" s="22">
        <v>0.8</v>
      </c>
      <c r="F12" s="150">
        <f t="shared" si="1"/>
        <v>1.0049999999999999</v>
      </c>
      <c r="G12" s="23">
        <f t="shared" si="3"/>
        <v>1.0049999999999999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0.9</v>
      </c>
      <c r="T12" s="133">
        <f t="shared" si="2"/>
        <v>1.105</v>
      </c>
    </row>
    <row r="13" spans="1:20" ht="14.25" customHeight="1">
      <c r="A13" s="144">
        <f ca="1">A12+TIME(,RAND()*1+(1-0),RAND()*10+10)</f>
        <v>4.8958333333333328E-3</v>
      </c>
      <c r="B13" s="140">
        <f t="shared" si="0"/>
        <v>14.836500000000001</v>
      </c>
      <c r="C13" s="20">
        <v>210</v>
      </c>
      <c r="D13" s="149">
        <v>1.59</v>
      </c>
      <c r="E13" s="22">
        <v>0.95</v>
      </c>
      <c r="F13" s="150">
        <f t="shared" si="1"/>
        <v>1.27</v>
      </c>
      <c r="G13" s="23">
        <f t="shared" si="3"/>
        <v>1.27</v>
      </c>
      <c r="H13" s="217" t="s">
        <v>16</v>
      </c>
      <c r="I13" s="218"/>
      <c r="J13" s="219" t="s">
        <v>23</v>
      </c>
      <c r="K13" s="30">
        <v>408</v>
      </c>
      <c r="L13" s="25">
        <f>M10</f>
        <v>408</v>
      </c>
      <c r="M13" s="26">
        <f>L13</f>
        <v>408</v>
      </c>
      <c r="N13" s="2"/>
      <c r="P13" s="3">
        <v>0.1</v>
      </c>
      <c r="Q13" s="3">
        <v>0.1</v>
      </c>
      <c r="S13" s="133">
        <f t="shared" si="2"/>
        <v>1.05</v>
      </c>
      <c r="T13" s="133">
        <f t="shared" si="2"/>
        <v>1.37</v>
      </c>
    </row>
    <row r="14" spans="1:20" ht="14.25" customHeight="1" thickBot="1">
      <c r="A14" s="144">
        <f ca="1">A13+TIME(,RAND()*1+(1-0),RAND()*10+10)</f>
        <v>5.7754629629629623E-3</v>
      </c>
      <c r="B14" s="140">
        <f t="shared" si="0"/>
        <v>17.309250000000002</v>
      </c>
      <c r="C14" s="20">
        <v>245</v>
      </c>
      <c r="D14" s="149">
        <v>1.62</v>
      </c>
      <c r="E14" s="22">
        <v>1.3</v>
      </c>
      <c r="F14" s="150">
        <f t="shared" si="1"/>
        <v>1.46</v>
      </c>
      <c r="G14" s="23">
        <f t="shared" si="3"/>
        <v>1.46</v>
      </c>
      <c r="H14" s="217"/>
      <c r="I14" s="218"/>
      <c r="J14" s="219"/>
      <c r="K14" s="17">
        <f>K13/2.5</f>
        <v>163.19999999999999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1.4000000000000001</v>
      </c>
      <c r="T14" s="133">
        <f t="shared" si="2"/>
        <v>1.56</v>
      </c>
    </row>
    <row r="15" spans="1:20" ht="14.25" customHeight="1" thickTop="1" thickBot="1">
      <c r="A15" s="144">
        <f ca="1">A14+TIME(,RAND()*1+(1-0),RAND()*10+10)</f>
        <v>6.6203703703703693E-3</v>
      </c>
      <c r="B15" s="140">
        <f t="shared" si="0"/>
        <v>19.782</v>
      </c>
      <c r="C15" s="20">
        <v>280</v>
      </c>
      <c r="D15" s="149">
        <v>1.95</v>
      </c>
      <c r="E15" s="22">
        <v>1.37</v>
      </c>
      <c r="F15" s="150">
        <f t="shared" si="1"/>
        <v>1.6600000000000001</v>
      </c>
      <c r="G15" s="23">
        <f t="shared" si="3"/>
        <v>1.6600000000000001</v>
      </c>
      <c r="H15" s="217" t="s">
        <v>16</v>
      </c>
      <c r="I15" s="218"/>
      <c r="J15" s="220" t="s">
        <v>27</v>
      </c>
      <c r="K15" s="2">
        <f>ROUND(K14,1)*1.3</f>
        <v>212.16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1.4700000000000002</v>
      </c>
      <c r="T15" s="133">
        <f t="shared" si="2"/>
        <v>1.7600000000000002</v>
      </c>
    </row>
    <row r="16" spans="1:20" ht="14.25" customHeight="1">
      <c r="A16" s="144">
        <f ca="1">A15+TIME(,RAND()*1+(1-0),RAND()*10+10)</f>
        <v>7.4652777777777764E-3</v>
      </c>
      <c r="B16" s="140">
        <f t="shared" si="0"/>
        <v>22.254750000000001</v>
      </c>
      <c r="C16" s="20">
        <v>315</v>
      </c>
      <c r="D16" s="149">
        <v>2.2200000000000002</v>
      </c>
      <c r="E16" s="22">
        <v>1.68</v>
      </c>
      <c r="F16" s="150">
        <f t="shared" si="1"/>
        <v>1.9500000000000002</v>
      </c>
      <c r="G16" s="23">
        <f t="shared" si="3"/>
        <v>1.9500000000000002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8.298611111111109E-3</v>
      </c>
      <c r="B17" s="140">
        <f t="shared" si="0"/>
        <v>24.727500000000003</v>
      </c>
      <c r="C17" s="20">
        <v>350</v>
      </c>
      <c r="D17" s="149">
        <v>2.31</v>
      </c>
      <c r="E17" s="22">
        <v>1.82</v>
      </c>
      <c r="F17" s="150">
        <f t="shared" si="1"/>
        <v>2.0649999999999999</v>
      </c>
      <c r="G17" s="23">
        <f t="shared" si="3"/>
        <v>2.0649999999999999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9.166666666666665E-3</v>
      </c>
      <c r="B18" s="140">
        <f t="shared" si="0"/>
        <v>27.20025</v>
      </c>
      <c r="C18" s="20">
        <v>385</v>
      </c>
      <c r="D18" s="149">
        <v>2.59</v>
      </c>
      <c r="E18" s="22">
        <v>2.08</v>
      </c>
      <c r="F18" s="150">
        <f t="shared" si="1"/>
        <v>2.335</v>
      </c>
      <c r="G18" s="23">
        <f t="shared" si="3"/>
        <v>2.335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1.0081018518518517E-2</v>
      </c>
      <c r="B19" s="140">
        <f t="shared" si="0"/>
        <v>29.673000000000002</v>
      </c>
      <c r="C19" s="20">
        <v>420</v>
      </c>
      <c r="D19" s="149">
        <v>2.85</v>
      </c>
      <c r="E19" s="22">
        <v>2.33</v>
      </c>
      <c r="F19" s="150">
        <f t="shared" si="1"/>
        <v>2.59</v>
      </c>
      <c r="G19" s="23">
        <f t="shared" si="3"/>
        <v>2.59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1.0925925925925924E-2</v>
      </c>
      <c r="B20" s="140">
        <f t="shared" si="0"/>
        <v>32.14575</v>
      </c>
      <c r="C20" s="20">
        <v>455</v>
      </c>
      <c r="D20" s="149">
        <v>3.03</v>
      </c>
      <c r="E20" s="22">
        <v>2.59</v>
      </c>
      <c r="F20" s="150">
        <f t="shared" si="1"/>
        <v>2.8099999999999996</v>
      </c>
      <c r="G20" s="23">
        <f t="shared" si="3"/>
        <v>2.8099999999999996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1.1736111111111109E-2</v>
      </c>
      <c r="B21" s="140">
        <f t="shared" si="0"/>
        <v>34.618500000000004</v>
      </c>
      <c r="C21" s="20">
        <v>490</v>
      </c>
      <c r="D21" s="149">
        <v>3.18</v>
      </c>
      <c r="E21" s="22">
        <v>2.86</v>
      </c>
      <c r="F21" s="150">
        <f t="shared" si="1"/>
        <v>3.02</v>
      </c>
      <c r="G21" s="23">
        <f t="shared" si="3"/>
        <v>3.02</v>
      </c>
      <c r="H21" s="204" t="str">
        <f>"K30  = "&amp;ROUND(K13,1)&amp;"÷2.5"</f>
        <v>K30  = 408÷2.5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163.19999999999999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163.2×1.3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212.16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163.2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DB94-E2C5-463B-A38D-CACBB3271482}">
  <dimension ref="A1:T66"/>
  <sheetViews>
    <sheetView view="pageBreakPreview" topLeftCell="A10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List!B13</f>
        <v>46164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List!A13</f>
        <v>10</v>
      </c>
      <c r="C3" s="253"/>
      <c r="D3" s="253"/>
      <c r="E3" s="253"/>
      <c r="F3" s="45" t="s">
        <v>34</v>
      </c>
      <c r="G3" s="283" t="str">
        <f>List!C13</f>
        <v>중로(집) 3-14 (No.6 ~ No.9),소로(국)3-17  노체 6단(18층)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0.28000000000000003</v>
      </c>
      <c r="E8" s="22">
        <v>0.3</v>
      </c>
      <c r="F8" s="150">
        <f>IFERROR((D8+E8)/2," ")</f>
        <v>0.29000000000000004</v>
      </c>
      <c r="G8" s="23">
        <f>F8-F7</f>
        <v>0.29000000000000004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</v>
      </c>
      <c r="T8" s="133">
        <f>F8+Q8</f>
        <v>0.39</v>
      </c>
    </row>
    <row r="9" spans="1:20" ht="14.25" customHeight="1" thickTop="1">
      <c r="A9" s="144">
        <f ca="1">A8+TIME(,RAND()*1+(1-0),RAND()*10+10)</f>
        <v>1.701388888888889E-3</v>
      </c>
      <c r="B9" s="140">
        <f t="shared" ref="B9:B21" si="0">C9*0.07065</f>
        <v>4.9455</v>
      </c>
      <c r="C9" s="20">
        <v>70</v>
      </c>
      <c r="D9" s="149">
        <v>0.3</v>
      </c>
      <c r="E9" s="22">
        <v>0.67</v>
      </c>
      <c r="F9" s="150">
        <f t="shared" ref="F9:F21" si="1">IFERROR((D9+E9)/2," ")</f>
        <v>0.48499999999999999</v>
      </c>
      <c r="G9" s="23">
        <f>F9-$F$7</f>
        <v>0.48499999999999999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0.77</v>
      </c>
      <c r="T9" s="133">
        <f t="shared" si="2"/>
        <v>0.58499999999999996</v>
      </c>
    </row>
    <row r="10" spans="1:20" ht="14.25" customHeight="1">
      <c r="A10" s="144">
        <f ca="1">A9+TIME(,RAND()*1+(1-0),RAND()*10+5)</f>
        <v>2.476851851851852E-3</v>
      </c>
      <c r="B10" s="140">
        <f t="shared" si="0"/>
        <v>7.4182500000000005</v>
      </c>
      <c r="C10" s="20">
        <v>105</v>
      </c>
      <c r="D10" s="149">
        <v>0.33</v>
      </c>
      <c r="E10" s="22">
        <v>1</v>
      </c>
      <c r="F10" s="150">
        <f t="shared" si="1"/>
        <v>0.66500000000000004</v>
      </c>
      <c r="G10" s="23">
        <f t="shared" ref="G10:G21" si="3">F10-$F$7</f>
        <v>0.66500000000000004</v>
      </c>
      <c r="H10" s="217"/>
      <c r="I10" s="218"/>
      <c r="J10" s="219"/>
      <c r="K10" s="24" t="s">
        <v>15</v>
      </c>
      <c r="L10" s="25">
        <v>0</v>
      </c>
      <c r="M10" s="62">
        <f>K13</f>
        <v>415</v>
      </c>
      <c r="N10" s="2"/>
      <c r="P10" s="3">
        <v>0.1</v>
      </c>
      <c r="Q10" s="3">
        <v>0.1</v>
      </c>
      <c r="S10" s="133">
        <f t="shared" si="2"/>
        <v>1.1000000000000001</v>
      </c>
      <c r="T10" s="133">
        <f t="shared" si="2"/>
        <v>0.76500000000000001</v>
      </c>
    </row>
    <row r="11" spans="1:20" ht="14.25" customHeight="1" thickBot="1">
      <c r="A11" s="144">
        <f ca="1">A10+TIME(,RAND()*1+(1-0),RAND()*10+5)</f>
        <v>3.2291666666666666E-3</v>
      </c>
      <c r="B11" s="140">
        <f t="shared" si="0"/>
        <v>9.891</v>
      </c>
      <c r="C11" s="20">
        <v>140</v>
      </c>
      <c r="D11" s="149">
        <v>0.67</v>
      </c>
      <c r="E11" s="22">
        <v>1.0900000000000001</v>
      </c>
      <c r="F11" s="150">
        <f t="shared" si="1"/>
        <v>0.88000000000000012</v>
      </c>
      <c r="G11" s="23">
        <f t="shared" si="3"/>
        <v>0.88000000000000012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1.1900000000000002</v>
      </c>
      <c r="T11" s="133">
        <f t="shared" si="2"/>
        <v>0.98000000000000009</v>
      </c>
    </row>
    <row r="12" spans="1:20" ht="14.25" customHeight="1" thickTop="1">
      <c r="A12" s="144">
        <f ca="1">A11+TIME(,RAND()*1+(1-0),RAND()*10+10)</f>
        <v>4.0740740740740737E-3</v>
      </c>
      <c r="B12" s="140">
        <f t="shared" si="0"/>
        <v>12.363750000000001</v>
      </c>
      <c r="C12" s="20">
        <v>175</v>
      </c>
      <c r="D12" s="149">
        <v>0.98</v>
      </c>
      <c r="E12" s="22">
        <v>1.47</v>
      </c>
      <c r="F12" s="150">
        <f t="shared" si="1"/>
        <v>1.2250000000000001</v>
      </c>
      <c r="G12" s="23">
        <f t="shared" si="3"/>
        <v>1.2250000000000001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1.57</v>
      </c>
      <c r="T12" s="133">
        <f t="shared" si="2"/>
        <v>1.3250000000000002</v>
      </c>
    </row>
    <row r="13" spans="1:20" ht="14.25" customHeight="1">
      <c r="A13" s="144">
        <f ca="1">A12+TIME(,RAND()*1+(1-0),RAND()*10+10)</f>
        <v>4.8958333333333328E-3</v>
      </c>
      <c r="B13" s="140">
        <f t="shared" si="0"/>
        <v>14.836500000000001</v>
      </c>
      <c r="C13" s="20">
        <v>210</v>
      </c>
      <c r="D13" s="149">
        <v>1.1499999999999999</v>
      </c>
      <c r="E13" s="22">
        <v>1.68</v>
      </c>
      <c r="F13" s="150">
        <f t="shared" si="1"/>
        <v>1.415</v>
      </c>
      <c r="G13" s="23">
        <f t="shared" si="3"/>
        <v>1.415</v>
      </c>
      <c r="H13" s="217" t="s">
        <v>16</v>
      </c>
      <c r="I13" s="218"/>
      <c r="J13" s="219" t="s">
        <v>23</v>
      </c>
      <c r="K13" s="30">
        <v>415</v>
      </c>
      <c r="L13" s="25">
        <f>M10</f>
        <v>415</v>
      </c>
      <c r="M13" s="26">
        <f>L13</f>
        <v>415</v>
      </c>
      <c r="N13" s="2"/>
      <c r="P13" s="3">
        <v>0.1</v>
      </c>
      <c r="Q13" s="3">
        <v>0.1</v>
      </c>
      <c r="S13" s="133">
        <f t="shared" si="2"/>
        <v>1.78</v>
      </c>
      <c r="T13" s="133">
        <f t="shared" si="2"/>
        <v>1.5150000000000001</v>
      </c>
    </row>
    <row r="14" spans="1:20" ht="14.25" customHeight="1" thickBot="1">
      <c r="A14" s="144">
        <f ca="1">A13+TIME(,RAND()*1+(1-0),RAND()*10+10)</f>
        <v>5.7407407407407398E-3</v>
      </c>
      <c r="B14" s="140">
        <f t="shared" si="0"/>
        <v>17.309250000000002</v>
      </c>
      <c r="C14" s="20">
        <v>245</v>
      </c>
      <c r="D14" s="149">
        <v>1.33</v>
      </c>
      <c r="E14" s="22">
        <v>1.96</v>
      </c>
      <c r="F14" s="150">
        <f t="shared" si="1"/>
        <v>1.645</v>
      </c>
      <c r="G14" s="23">
        <f t="shared" si="3"/>
        <v>1.645</v>
      </c>
      <c r="H14" s="217"/>
      <c r="I14" s="218"/>
      <c r="J14" s="219"/>
      <c r="K14" s="17">
        <f>K13/2.5</f>
        <v>166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2.06</v>
      </c>
      <c r="T14" s="133">
        <f t="shared" si="2"/>
        <v>1.7450000000000001</v>
      </c>
    </row>
    <row r="15" spans="1:20" ht="14.25" customHeight="1" thickTop="1" thickBot="1">
      <c r="A15" s="144">
        <f ca="1">A14+TIME(,RAND()*1+(1-0),RAND()*10+10)</f>
        <v>6.5972222222222213E-3</v>
      </c>
      <c r="B15" s="140">
        <f t="shared" si="0"/>
        <v>19.782</v>
      </c>
      <c r="C15" s="20">
        <v>280</v>
      </c>
      <c r="D15" s="149">
        <v>1.5</v>
      </c>
      <c r="E15" s="22">
        <v>2.19</v>
      </c>
      <c r="F15" s="150">
        <f t="shared" si="1"/>
        <v>1.845</v>
      </c>
      <c r="G15" s="23">
        <f t="shared" si="3"/>
        <v>1.845</v>
      </c>
      <c r="H15" s="217" t="s">
        <v>16</v>
      </c>
      <c r="I15" s="218"/>
      <c r="J15" s="220" t="s">
        <v>27</v>
      </c>
      <c r="K15" s="2">
        <f>ROUND(K14,1)*1.3</f>
        <v>215.8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2.29</v>
      </c>
      <c r="T15" s="133">
        <f t="shared" si="2"/>
        <v>1.9450000000000001</v>
      </c>
    </row>
    <row r="16" spans="1:20" ht="14.25" customHeight="1">
      <c r="A16" s="144">
        <f ca="1">A15+TIME(,RAND()*1+(1-0),RAND()*10+10)</f>
        <v>7.4768518518518508E-3</v>
      </c>
      <c r="B16" s="140">
        <f t="shared" si="0"/>
        <v>22.254750000000001</v>
      </c>
      <c r="C16" s="20">
        <v>315</v>
      </c>
      <c r="D16" s="149">
        <v>1.58</v>
      </c>
      <c r="E16" s="22">
        <v>2.2599999999999998</v>
      </c>
      <c r="F16" s="150">
        <f t="shared" si="1"/>
        <v>1.92</v>
      </c>
      <c r="G16" s="23">
        <f t="shared" si="3"/>
        <v>1.92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1" ca="1" si="4">A16+TIME(,RAND()*1+(1-0),RAND()*10+10)</f>
        <v>8.3449074074074068E-3</v>
      </c>
      <c r="B17" s="140">
        <f t="shared" si="0"/>
        <v>24.727500000000003</v>
      </c>
      <c r="C17" s="20">
        <v>350</v>
      </c>
      <c r="D17" s="149">
        <v>1.75</v>
      </c>
      <c r="E17" s="22">
        <v>2.63</v>
      </c>
      <c r="F17" s="150">
        <f t="shared" si="1"/>
        <v>2.19</v>
      </c>
      <c r="G17" s="23">
        <f t="shared" si="3"/>
        <v>2.19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9.1550925925925914E-3</v>
      </c>
      <c r="B18" s="140">
        <f t="shared" si="0"/>
        <v>27.20025</v>
      </c>
      <c r="C18" s="20">
        <v>385</v>
      </c>
      <c r="D18" s="149">
        <v>1.87</v>
      </c>
      <c r="E18" s="22">
        <v>2.79</v>
      </c>
      <c r="F18" s="150">
        <f t="shared" si="1"/>
        <v>2.33</v>
      </c>
      <c r="G18" s="23">
        <f t="shared" si="3"/>
        <v>2.33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9.9884259259259249E-3</v>
      </c>
      <c r="B19" s="140">
        <f t="shared" si="0"/>
        <v>29.673000000000002</v>
      </c>
      <c r="C19" s="20">
        <v>420</v>
      </c>
      <c r="D19" s="149">
        <v>2.0299999999999998</v>
      </c>
      <c r="E19" s="22">
        <v>3.07</v>
      </c>
      <c r="F19" s="150">
        <f t="shared" si="1"/>
        <v>2.5499999999999998</v>
      </c>
      <c r="G19" s="23">
        <f t="shared" si="3"/>
        <v>2.5499999999999998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1.0902777777777777E-2</v>
      </c>
      <c r="B20" s="140">
        <f t="shared" si="0"/>
        <v>32.14575</v>
      </c>
      <c r="C20" s="20">
        <v>455</v>
      </c>
      <c r="D20" s="149">
        <v>2.04</v>
      </c>
      <c r="E20" s="22">
        <v>3.32</v>
      </c>
      <c r="F20" s="150">
        <f t="shared" si="1"/>
        <v>2.6799999999999997</v>
      </c>
      <c r="G20" s="23">
        <f t="shared" si="3"/>
        <v>2.6799999999999997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1.1770833333333333E-2</v>
      </c>
      <c r="B21" s="140">
        <f t="shared" si="0"/>
        <v>34.618500000000004</v>
      </c>
      <c r="C21" s="20">
        <v>490</v>
      </c>
      <c r="D21" s="149">
        <v>2.2000000000000002</v>
      </c>
      <c r="E21" s="22">
        <v>3.54</v>
      </c>
      <c r="F21" s="150">
        <f t="shared" si="1"/>
        <v>2.87</v>
      </c>
      <c r="G21" s="23">
        <f t="shared" si="3"/>
        <v>2.87</v>
      </c>
      <c r="H21" s="204" t="str">
        <f>"K30  = "&amp;ROUND(K13,1)&amp;"÷2.5"</f>
        <v>K30  = 415÷2.5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/>
      <c r="B22" s="140"/>
      <c r="C22" s="20"/>
      <c r="D22" s="149"/>
      <c r="E22" s="22"/>
      <c r="F22" s="150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166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166×1.3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215.8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166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DBE8-52DC-4B62-8237-2611D4A5FD87}">
  <dimension ref="A1:T66"/>
  <sheetViews>
    <sheetView view="pageBreakPreview" topLeftCell="A13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List!B12</f>
        <v>46164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List!A12</f>
        <v>9</v>
      </c>
      <c r="C3" s="253"/>
      <c r="D3" s="253"/>
      <c r="E3" s="253"/>
      <c r="F3" s="45" t="s">
        <v>34</v>
      </c>
      <c r="G3" s="283" t="str">
        <f>List!C12</f>
        <v>중로(집) 3-14 (No.6 ~ No.9),소로(국)3-17  노체 5단(15층)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8.1018518518518516E-4</v>
      </c>
      <c r="B8" s="140">
        <f>C8*0.07065</f>
        <v>2.47275</v>
      </c>
      <c r="C8" s="20">
        <v>35</v>
      </c>
      <c r="D8" s="149">
        <v>0.12</v>
      </c>
      <c r="E8" s="22">
        <v>0.14000000000000001</v>
      </c>
      <c r="F8" s="150">
        <f>IFERROR((D8+E8)/2," ")</f>
        <v>0.13</v>
      </c>
      <c r="G8" s="23">
        <f>F8-F7</f>
        <v>0.13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0.24000000000000002</v>
      </c>
      <c r="T8" s="133">
        <f>F8+Q8</f>
        <v>0.23</v>
      </c>
    </row>
    <row r="9" spans="1:20" ht="14.25" customHeight="1" thickTop="1">
      <c r="A9" s="144">
        <f ca="1">A8+TIME(,RAND()*1+(1-0),RAND()*10+10)</f>
        <v>1.6203703703703703E-3</v>
      </c>
      <c r="B9" s="140">
        <f t="shared" ref="B9:B22" si="0">C9*0.07065</f>
        <v>4.9455</v>
      </c>
      <c r="C9" s="20">
        <v>70</v>
      </c>
      <c r="D9" s="149">
        <v>0.43</v>
      </c>
      <c r="E9" s="22">
        <v>0.47</v>
      </c>
      <c r="F9" s="150">
        <f t="shared" ref="F9:F22" si="1">IFERROR((D9+E9)/2," ")</f>
        <v>0.44999999999999996</v>
      </c>
      <c r="G9" s="23">
        <f>F9-$F$7</f>
        <v>0.44999999999999996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0.56999999999999995</v>
      </c>
      <c r="T9" s="133">
        <f t="shared" si="2"/>
        <v>0.54999999999999993</v>
      </c>
    </row>
    <row r="10" spans="1:20" ht="14.25" customHeight="1">
      <c r="A10" s="144">
        <f ca="1">A9+TIME(,RAND()*1+(1-0),RAND()*10+5)</f>
        <v>2.4537037037037036E-3</v>
      </c>
      <c r="B10" s="140">
        <f t="shared" si="0"/>
        <v>7.4182500000000005</v>
      </c>
      <c r="C10" s="20">
        <v>105</v>
      </c>
      <c r="D10" s="149">
        <v>0.5</v>
      </c>
      <c r="E10" s="22">
        <v>0.62</v>
      </c>
      <c r="F10" s="150">
        <f t="shared" si="1"/>
        <v>0.56000000000000005</v>
      </c>
      <c r="G10" s="23">
        <f t="shared" ref="G10:G22" si="3">F10-$F$7</f>
        <v>0.56000000000000005</v>
      </c>
      <c r="H10" s="217"/>
      <c r="I10" s="218"/>
      <c r="J10" s="219"/>
      <c r="K10" s="24" t="s">
        <v>15</v>
      </c>
      <c r="L10" s="25">
        <v>0</v>
      </c>
      <c r="M10" s="62">
        <f>K13</f>
        <v>425</v>
      </c>
      <c r="N10" s="2"/>
      <c r="P10" s="3">
        <v>0.1</v>
      </c>
      <c r="Q10" s="3">
        <v>0.1</v>
      </c>
      <c r="S10" s="133">
        <f t="shared" si="2"/>
        <v>0.72</v>
      </c>
      <c r="T10" s="133">
        <f t="shared" si="2"/>
        <v>0.66</v>
      </c>
    </row>
    <row r="11" spans="1:20" ht="14.25" customHeight="1" thickBot="1">
      <c r="A11" s="144">
        <f ca="1">A10+TIME(,RAND()*1+(1-0),RAND()*10+5)</f>
        <v>3.2754629629629627E-3</v>
      </c>
      <c r="B11" s="140">
        <f t="shared" si="0"/>
        <v>9.891</v>
      </c>
      <c r="C11" s="20">
        <v>140</v>
      </c>
      <c r="D11" s="149">
        <v>0.78</v>
      </c>
      <c r="E11" s="22">
        <v>0.84</v>
      </c>
      <c r="F11" s="150">
        <f t="shared" si="1"/>
        <v>0.81</v>
      </c>
      <c r="G11" s="23">
        <f t="shared" si="3"/>
        <v>0.81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0.94</v>
      </c>
      <c r="T11" s="133">
        <f t="shared" si="2"/>
        <v>0.91</v>
      </c>
    </row>
    <row r="12" spans="1:20" ht="14.25" customHeight="1" thickTop="1">
      <c r="A12" s="144">
        <f ca="1">A11+TIME(,RAND()*1+(1-0),RAND()*10+10)</f>
        <v>4.1087962962962962E-3</v>
      </c>
      <c r="B12" s="140">
        <f t="shared" si="0"/>
        <v>12.363750000000001</v>
      </c>
      <c r="C12" s="20">
        <v>175</v>
      </c>
      <c r="D12" s="149">
        <v>1.1100000000000001</v>
      </c>
      <c r="E12" s="22">
        <v>1.1499999999999999</v>
      </c>
      <c r="F12" s="150">
        <f t="shared" si="1"/>
        <v>1.1299999999999999</v>
      </c>
      <c r="G12" s="23">
        <f t="shared" si="3"/>
        <v>1.1299999999999999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1.25</v>
      </c>
      <c r="T12" s="133">
        <f t="shared" si="2"/>
        <v>1.23</v>
      </c>
    </row>
    <row r="13" spans="1:20" ht="14.25" customHeight="1">
      <c r="A13" s="144">
        <f ca="1">A12+TIME(,RAND()*1+(1-0),RAND()*10+10)</f>
        <v>5.0115740740740737E-3</v>
      </c>
      <c r="B13" s="140">
        <f t="shared" si="0"/>
        <v>14.836500000000001</v>
      </c>
      <c r="C13" s="20">
        <v>210</v>
      </c>
      <c r="D13" s="149">
        <v>1.26</v>
      </c>
      <c r="E13" s="22">
        <v>1.35</v>
      </c>
      <c r="F13" s="150">
        <f t="shared" si="1"/>
        <v>1.3050000000000002</v>
      </c>
      <c r="G13" s="23">
        <f t="shared" si="3"/>
        <v>1.3050000000000002</v>
      </c>
      <c r="H13" s="217" t="s">
        <v>16</v>
      </c>
      <c r="I13" s="218"/>
      <c r="J13" s="219" t="s">
        <v>23</v>
      </c>
      <c r="K13" s="30">
        <v>425</v>
      </c>
      <c r="L13" s="25">
        <f>M10</f>
        <v>425</v>
      </c>
      <c r="M13" s="26">
        <f>L13</f>
        <v>425</v>
      </c>
      <c r="N13" s="2"/>
      <c r="P13" s="3">
        <v>0.1</v>
      </c>
      <c r="Q13" s="3">
        <v>0.1</v>
      </c>
      <c r="S13" s="133">
        <f t="shared" si="2"/>
        <v>1.4500000000000002</v>
      </c>
      <c r="T13" s="133">
        <f t="shared" si="2"/>
        <v>1.4050000000000002</v>
      </c>
    </row>
    <row r="14" spans="1:20" ht="14.25" customHeight="1" thickBot="1">
      <c r="A14" s="144">
        <f ca="1">A13+TIME(,RAND()*1+(1-0),RAND()*10+10)</f>
        <v>5.8217592592592592E-3</v>
      </c>
      <c r="B14" s="140">
        <f t="shared" si="0"/>
        <v>17.309250000000002</v>
      </c>
      <c r="C14" s="20">
        <v>245</v>
      </c>
      <c r="D14" s="149">
        <v>1.58</v>
      </c>
      <c r="E14" s="22">
        <v>1.46</v>
      </c>
      <c r="F14" s="150">
        <f t="shared" si="1"/>
        <v>1.52</v>
      </c>
      <c r="G14" s="23">
        <f t="shared" si="3"/>
        <v>1.52</v>
      </c>
      <c r="H14" s="217"/>
      <c r="I14" s="218"/>
      <c r="J14" s="219"/>
      <c r="K14" s="17">
        <f>K13/2.5</f>
        <v>170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1.56</v>
      </c>
      <c r="T14" s="133">
        <f t="shared" si="2"/>
        <v>1.62</v>
      </c>
    </row>
    <row r="15" spans="1:20" ht="14.25" customHeight="1" thickTop="1" thickBot="1">
      <c r="A15" s="144">
        <f ca="1">A14+TIME(,RAND()*1+(1-0),RAND()*10+10)</f>
        <v>6.7013888888888887E-3</v>
      </c>
      <c r="B15" s="140">
        <f t="shared" si="0"/>
        <v>19.782</v>
      </c>
      <c r="C15" s="20">
        <v>280</v>
      </c>
      <c r="D15" s="149">
        <v>1.65</v>
      </c>
      <c r="E15" s="22">
        <v>1.65</v>
      </c>
      <c r="F15" s="150">
        <f t="shared" si="1"/>
        <v>1.65</v>
      </c>
      <c r="G15" s="23">
        <f t="shared" si="3"/>
        <v>1.65</v>
      </c>
      <c r="H15" s="217" t="s">
        <v>16</v>
      </c>
      <c r="I15" s="218"/>
      <c r="J15" s="220" t="s">
        <v>27</v>
      </c>
      <c r="K15" s="2">
        <f>ROUND(K14,1)*1.3</f>
        <v>221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1.75</v>
      </c>
      <c r="T15" s="133">
        <f t="shared" si="2"/>
        <v>1.75</v>
      </c>
    </row>
    <row r="16" spans="1:20" ht="14.25" customHeight="1">
      <c r="A16" s="144">
        <f ca="1">A15+TIME(,RAND()*1+(1-0),RAND()*10+10)</f>
        <v>7.6041666666666662E-3</v>
      </c>
      <c r="B16" s="140">
        <f t="shared" si="0"/>
        <v>22.254750000000001</v>
      </c>
      <c r="C16" s="20">
        <v>315</v>
      </c>
      <c r="D16" s="149">
        <v>1.98</v>
      </c>
      <c r="E16" s="22">
        <v>1.83</v>
      </c>
      <c r="F16" s="150">
        <f t="shared" si="1"/>
        <v>1.905</v>
      </c>
      <c r="G16" s="23">
        <f t="shared" si="3"/>
        <v>1.905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8.4374999999999988E-3</v>
      </c>
      <c r="B17" s="140">
        <f t="shared" si="0"/>
        <v>24.727500000000003</v>
      </c>
      <c r="C17" s="20">
        <v>350</v>
      </c>
      <c r="D17" s="149">
        <v>2.2999999999999998</v>
      </c>
      <c r="E17" s="22">
        <v>1.88</v>
      </c>
      <c r="F17" s="150">
        <f t="shared" si="1"/>
        <v>2.09</v>
      </c>
      <c r="G17" s="23">
        <f t="shared" si="3"/>
        <v>2.09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9.3287037037037019E-3</v>
      </c>
      <c r="B18" s="140">
        <f t="shared" si="0"/>
        <v>27.20025</v>
      </c>
      <c r="C18" s="20">
        <v>385</v>
      </c>
      <c r="D18" s="149">
        <v>2.5299999999999998</v>
      </c>
      <c r="E18" s="22">
        <v>1.99</v>
      </c>
      <c r="F18" s="150">
        <f t="shared" si="1"/>
        <v>2.2599999999999998</v>
      </c>
      <c r="G18" s="23">
        <f t="shared" si="3"/>
        <v>2.2599999999999998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1.0138888888888887E-2</v>
      </c>
      <c r="B19" s="140">
        <f t="shared" si="0"/>
        <v>29.673000000000002</v>
      </c>
      <c r="C19" s="20">
        <v>420</v>
      </c>
      <c r="D19" s="149">
        <v>2.65</v>
      </c>
      <c r="E19" s="22">
        <v>2.11</v>
      </c>
      <c r="F19" s="150">
        <f t="shared" si="1"/>
        <v>2.38</v>
      </c>
      <c r="G19" s="23">
        <f t="shared" si="3"/>
        <v>2.38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1.0983796296296294E-2</v>
      </c>
      <c r="B20" s="140">
        <f t="shared" si="0"/>
        <v>32.14575</v>
      </c>
      <c r="C20" s="20">
        <v>455</v>
      </c>
      <c r="D20" s="149">
        <v>2.9</v>
      </c>
      <c r="E20" s="22">
        <v>2.1800000000000002</v>
      </c>
      <c r="F20" s="150">
        <f t="shared" si="1"/>
        <v>2.54</v>
      </c>
      <c r="G20" s="23">
        <f t="shared" si="3"/>
        <v>2.54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1.1874999999999997E-2</v>
      </c>
      <c r="B21" s="140">
        <f t="shared" si="0"/>
        <v>34.618500000000004</v>
      </c>
      <c r="C21" s="20">
        <v>490</v>
      </c>
      <c r="D21" s="149">
        <v>3.13</v>
      </c>
      <c r="E21" s="22">
        <v>2.4300000000000002</v>
      </c>
      <c r="F21" s="150">
        <f t="shared" si="1"/>
        <v>2.7800000000000002</v>
      </c>
      <c r="G21" s="23">
        <f t="shared" si="3"/>
        <v>2.7800000000000002</v>
      </c>
      <c r="H21" s="204" t="str">
        <f>"K30  = "&amp;ROUND(K13,1)&amp;"÷2.5"</f>
        <v>K30  = 425÷2.5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1.2777777777777775E-2</v>
      </c>
      <c r="B22" s="140">
        <f t="shared" si="0"/>
        <v>37.091250000000002</v>
      </c>
      <c r="C22" s="20">
        <v>525</v>
      </c>
      <c r="D22" s="149">
        <v>3.23</v>
      </c>
      <c r="E22" s="22">
        <v>3.17</v>
      </c>
      <c r="F22" s="150">
        <f t="shared" si="1"/>
        <v>3.2</v>
      </c>
      <c r="G22" s="23">
        <f t="shared" si="3"/>
        <v>3.2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170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170×1.3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221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170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1A45-687E-4FF5-BE9E-4A402CDA1FE4}">
  <dimension ref="A1:T66"/>
  <sheetViews>
    <sheetView view="pageBreakPreview" topLeftCell="A7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List!B11</f>
        <v>46161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List!A11</f>
        <v>8</v>
      </c>
      <c r="C3" s="253"/>
      <c r="D3" s="253"/>
      <c r="E3" s="253"/>
      <c r="F3" s="45" t="s">
        <v>34</v>
      </c>
      <c r="G3" s="281" t="str">
        <f>List!C11</f>
        <v>중로(집) 3-16 (No.36 ~ No.41) 노체 4단(12층)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8.3333333333333339E-4</v>
      </c>
      <c r="B8" s="140">
        <f>C8*0.07065</f>
        <v>2.47275</v>
      </c>
      <c r="C8" s="20">
        <v>35</v>
      </c>
      <c r="D8" s="149">
        <v>0.06</v>
      </c>
      <c r="E8" s="22">
        <v>0.08</v>
      </c>
      <c r="F8" s="150">
        <f>IFERROR((D8+E8)/2," ")</f>
        <v>7.0000000000000007E-2</v>
      </c>
      <c r="G8" s="23">
        <f>F8-F7</f>
        <v>7.0000000000000007E-2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0.18</v>
      </c>
      <c r="T8" s="133">
        <f>F8+Q8</f>
        <v>0.17</v>
      </c>
    </row>
    <row r="9" spans="1:20" ht="14.25" customHeight="1" thickTop="1">
      <c r="A9" s="144">
        <f ca="1">A8+TIME(,RAND()*1+(1-0),RAND()*10+10)</f>
        <v>1.7476851851851852E-3</v>
      </c>
      <c r="B9" s="140">
        <f t="shared" ref="B9:B22" si="0">C9*0.07065</f>
        <v>4.9455</v>
      </c>
      <c r="C9" s="20">
        <v>70</v>
      </c>
      <c r="D9" s="149">
        <v>0.15</v>
      </c>
      <c r="E9" s="22">
        <v>0.25</v>
      </c>
      <c r="F9" s="150">
        <f t="shared" ref="F9:F22" si="1">IFERROR((D9+E9)/2," ")</f>
        <v>0.2</v>
      </c>
      <c r="G9" s="23">
        <f>F9-$F$7</f>
        <v>0.2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0.35</v>
      </c>
      <c r="T9" s="133">
        <f t="shared" si="2"/>
        <v>0.30000000000000004</v>
      </c>
    </row>
    <row r="10" spans="1:20" ht="14.25" customHeight="1">
      <c r="A10" s="144">
        <f ca="1">A9+TIME(,RAND()*1+(1-0),RAND()*10+5)</f>
        <v>2.5347222222222221E-3</v>
      </c>
      <c r="B10" s="140">
        <f t="shared" si="0"/>
        <v>7.4182500000000005</v>
      </c>
      <c r="C10" s="20">
        <v>105</v>
      </c>
      <c r="D10" s="149">
        <v>0.2</v>
      </c>
      <c r="E10" s="22">
        <v>0.54</v>
      </c>
      <c r="F10" s="150">
        <f t="shared" si="1"/>
        <v>0.37</v>
      </c>
      <c r="G10" s="23">
        <f t="shared" ref="G10:G22" si="3">F10-$F$7</f>
        <v>0.37</v>
      </c>
      <c r="H10" s="217"/>
      <c r="I10" s="218"/>
      <c r="J10" s="219"/>
      <c r="K10" s="24" t="s">
        <v>15</v>
      </c>
      <c r="L10" s="25">
        <v>0</v>
      </c>
      <c r="M10" s="62">
        <f>K13</f>
        <v>440</v>
      </c>
      <c r="N10" s="2"/>
      <c r="P10" s="3">
        <v>0.1</v>
      </c>
      <c r="Q10" s="3">
        <v>0.1</v>
      </c>
      <c r="S10" s="133">
        <f t="shared" si="2"/>
        <v>0.64</v>
      </c>
      <c r="T10" s="133">
        <f t="shared" si="2"/>
        <v>0.47</v>
      </c>
    </row>
    <row r="11" spans="1:20" ht="14.25" customHeight="1" thickBot="1">
      <c r="A11" s="144">
        <f ca="1">A10+TIME(,RAND()*1+(1-0),RAND()*10+5)</f>
        <v>3.2986111111111111E-3</v>
      </c>
      <c r="B11" s="140">
        <f t="shared" si="0"/>
        <v>9.891</v>
      </c>
      <c r="C11" s="20">
        <v>140</v>
      </c>
      <c r="D11" s="149">
        <v>0.35</v>
      </c>
      <c r="E11" s="22">
        <v>0.75</v>
      </c>
      <c r="F11" s="150">
        <f t="shared" si="1"/>
        <v>0.55000000000000004</v>
      </c>
      <c r="G11" s="23">
        <f t="shared" si="3"/>
        <v>0.55000000000000004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0.85</v>
      </c>
      <c r="T11" s="133">
        <f t="shared" si="2"/>
        <v>0.65</v>
      </c>
    </row>
    <row r="12" spans="1:20" ht="14.25" customHeight="1" thickTop="1">
      <c r="A12" s="144">
        <f ca="1">A11+TIME(,RAND()*1+(1-0),RAND()*10+10)</f>
        <v>4.2129629629629626E-3</v>
      </c>
      <c r="B12" s="140">
        <f t="shared" si="0"/>
        <v>12.363750000000001</v>
      </c>
      <c r="C12" s="20">
        <v>175</v>
      </c>
      <c r="D12" s="149">
        <v>0.62</v>
      </c>
      <c r="E12" s="22">
        <v>1.07</v>
      </c>
      <c r="F12" s="150">
        <f t="shared" si="1"/>
        <v>0.84499999999999997</v>
      </c>
      <c r="G12" s="23">
        <f t="shared" si="3"/>
        <v>0.84499999999999997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1.1700000000000002</v>
      </c>
      <c r="T12" s="133">
        <f t="shared" si="2"/>
        <v>0.94499999999999995</v>
      </c>
    </row>
    <row r="13" spans="1:20" ht="14.25" customHeight="1">
      <c r="A13" s="144">
        <f ca="1">A12+TIME(,RAND()*1+(1-0),RAND()*10+10)</f>
        <v>5.0925925925925921E-3</v>
      </c>
      <c r="B13" s="140">
        <f t="shared" si="0"/>
        <v>14.836500000000001</v>
      </c>
      <c r="C13" s="20">
        <v>210</v>
      </c>
      <c r="D13" s="149">
        <v>0.7</v>
      </c>
      <c r="E13" s="22">
        <v>1.38</v>
      </c>
      <c r="F13" s="150">
        <f t="shared" si="1"/>
        <v>1.04</v>
      </c>
      <c r="G13" s="23">
        <f t="shared" si="3"/>
        <v>1.04</v>
      </c>
      <c r="H13" s="217" t="s">
        <v>16</v>
      </c>
      <c r="I13" s="218"/>
      <c r="J13" s="219" t="s">
        <v>23</v>
      </c>
      <c r="K13" s="30">
        <v>440</v>
      </c>
      <c r="L13" s="25">
        <f>M10</f>
        <v>440</v>
      </c>
      <c r="M13" s="26">
        <f>L13</f>
        <v>440</v>
      </c>
      <c r="N13" s="2"/>
      <c r="P13" s="3">
        <v>0.1</v>
      </c>
      <c r="Q13" s="3">
        <v>0.1</v>
      </c>
      <c r="S13" s="133">
        <f t="shared" si="2"/>
        <v>1.48</v>
      </c>
      <c r="T13" s="133">
        <f t="shared" si="2"/>
        <v>1.1400000000000001</v>
      </c>
    </row>
    <row r="14" spans="1:20" ht="14.25" customHeight="1" thickBot="1">
      <c r="A14" s="144">
        <f ca="1">A13+TIME(,RAND()*1+(1-0),RAND()*10+10)</f>
        <v>5.9490740740740736E-3</v>
      </c>
      <c r="B14" s="140">
        <f t="shared" si="0"/>
        <v>17.309250000000002</v>
      </c>
      <c r="C14" s="20">
        <v>245</v>
      </c>
      <c r="D14" s="149">
        <v>0.93</v>
      </c>
      <c r="E14" s="22">
        <v>1.6</v>
      </c>
      <c r="F14" s="150">
        <f t="shared" si="1"/>
        <v>1.2650000000000001</v>
      </c>
      <c r="G14" s="23">
        <f t="shared" si="3"/>
        <v>1.2650000000000001</v>
      </c>
      <c r="H14" s="217"/>
      <c r="I14" s="218"/>
      <c r="J14" s="219"/>
      <c r="K14" s="17">
        <f>K13/2.5</f>
        <v>176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1.7000000000000002</v>
      </c>
      <c r="T14" s="133">
        <f t="shared" si="2"/>
        <v>1.3650000000000002</v>
      </c>
    </row>
    <row r="15" spans="1:20" ht="14.25" customHeight="1" thickTop="1" thickBot="1">
      <c r="A15" s="144">
        <f ca="1">A14+TIME(,RAND()*1+(1-0),RAND()*10+10)</f>
        <v>6.8402777777777776E-3</v>
      </c>
      <c r="B15" s="140">
        <f t="shared" si="0"/>
        <v>19.782</v>
      </c>
      <c r="C15" s="20">
        <v>280</v>
      </c>
      <c r="D15" s="149">
        <v>1.17</v>
      </c>
      <c r="E15" s="22">
        <v>1.74</v>
      </c>
      <c r="F15" s="150">
        <f t="shared" si="1"/>
        <v>1.4550000000000001</v>
      </c>
      <c r="G15" s="23">
        <f t="shared" si="3"/>
        <v>1.4550000000000001</v>
      </c>
      <c r="H15" s="217" t="s">
        <v>16</v>
      </c>
      <c r="I15" s="218"/>
      <c r="J15" s="220" t="s">
        <v>27</v>
      </c>
      <c r="K15" s="2">
        <f>ROUND(K14,1)*1.3</f>
        <v>228.8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1.84</v>
      </c>
      <c r="T15" s="133">
        <f t="shared" si="2"/>
        <v>1.5550000000000002</v>
      </c>
    </row>
    <row r="16" spans="1:20" ht="14.25" customHeight="1">
      <c r="A16" s="144">
        <f ca="1">A15+TIME(,RAND()*1+(1-0),RAND()*10+10)</f>
        <v>7.7430555555555551E-3</v>
      </c>
      <c r="B16" s="140">
        <f t="shared" si="0"/>
        <v>22.254750000000001</v>
      </c>
      <c r="C16" s="20">
        <v>315</v>
      </c>
      <c r="D16" s="149">
        <v>1.49</v>
      </c>
      <c r="E16" s="22">
        <v>2</v>
      </c>
      <c r="F16" s="150">
        <f t="shared" si="1"/>
        <v>1.7450000000000001</v>
      </c>
      <c r="G16" s="23">
        <f t="shared" si="3"/>
        <v>1.7450000000000001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8.6226851851851846E-3</v>
      </c>
      <c r="B17" s="140">
        <f t="shared" si="0"/>
        <v>24.727500000000003</v>
      </c>
      <c r="C17" s="20">
        <v>350</v>
      </c>
      <c r="D17" s="149">
        <v>1.65</v>
      </c>
      <c r="E17" s="22">
        <v>2.0699999999999998</v>
      </c>
      <c r="F17" s="150">
        <f t="shared" si="1"/>
        <v>1.8599999999999999</v>
      </c>
      <c r="G17" s="23">
        <f t="shared" si="3"/>
        <v>1.8599999999999999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9.4560185185185181E-3</v>
      </c>
      <c r="B18" s="140">
        <f t="shared" si="0"/>
        <v>27.20025</v>
      </c>
      <c r="C18" s="20">
        <v>385</v>
      </c>
      <c r="D18" s="149">
        <v>1.87</v>
      </c>
      <c r="E18" s="22">
        <v>2.3199999999999998</v>
      </c>
      <c r="F18" s="150">
        <f t="shared" si="1"/>
        <v>2.0949999999999998</v>
      </c>
      <c r="G18" s="23">
        <f t="shared" si="3"/>
        <v>2.0949999999999998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1.0300925925925925E-2</v>
      </c>
      <c r="B19" s="140">
        <f t="shared" si="0"/>
        <v>29.673000000000002</v>
      </c>
      <c r="C19" s="20">
        <v>420</v>
      </c>
      <c r="D19" s="149">
        <v>1.98</v>
      </c>
      <c r="E19" s="22">
        <v>2.5</v>
      </c>
      <c r="F19" s="150">
        <f t="shared" si="1"/>
        <v>2.2400000000000002</v>
      </c>
      <c r="G19" s="23">
        <f t="shared" si="3"/>
        <v>2.2400000000000002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1.1192129629629628E-2</v>
      </c>
      <c r="B20" s="140">
        <f t="shared" si="0"/>
        <v>32.14575</v>
      </c>
      <c r="C20" s="20">
        <v>455</v>
      </c>
      <c r="D20" s="149">
        <v>2.2000000000000002</v>
      </c>
      <c r="E20" s="22">
        <v>2.68</v>
      </c>
      <c r="F20" s="150">
        <f t="shared" si="1"/>
        <v>2.4400000000000004</v>
      </c>
      <c r="G20" s="23">
        <f t="shared" si="3"/>
        <v>2.4400000000000004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1.2002314814814813E-2</v>
      </c>
      <c r="B21" s="140">
        <f t="shared" si="0"/>
        <v>34.618500000000004</v>
      </c>
      <c r="C21" s="20">
        <v>490</v>
      </c>
      <c r="D21" s="149">
        <v>2.39</v>
      </c>
      <c r="E21" s="22">
        <v>2.92</v>
      </c>
      <c r="F21" s="150">
        <f t="shared" si="1"/>
        <v>2.6550000000000002</v>
      </c>
      <c r="G21" s="23">
        <f t="shared" si="3"/>
        <v>2.6550000000000002</v>
      </c>
      <c r="H21" s="204" t="str">
        <f>"K30  = "&amp;ROUND(K13,1)&amp;"÷2.5"</f>
        <v>K30  = 440÷2.5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1.2905092592592591E-2</v>
      </c>
      <c r="B22" s="140">
        <f t="shared" si="0"/>
        <v>37.091250000000002</v>
      </c>
      <c r="C22" s="20">
        <v>525</v>
      </c>
      <c r="D22" s="149">
        <v>3.25</v>
      </c>
      <c r="E22" s="22">
        <v>3.46</v>
      </c>
      <c r="F22" s="150">
        <f t="shared" si="1"/>
        <v>3.355</v>
      </c>
      <c r="G22" s="23">
        <f t="shared" si="3"/>
        <v>3.355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228.8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91EC-BA22-4246-9DA1-D961124D868E}">
  <dimension ref="A1:T66"/>
  <sheetViews>
    <sheetView view="pageBreakPreview" zoomScale="115" zoomScaleNormal="100" zoomScaleSheetLayoutView="115" workbookViewId="0">
      <selection activeCell="P47" sqref="P47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List!B10</f>
        <v>46161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List!A10</f>
        <v>7</v>
      </c>
      <c r="C3" s="253"/>
      <c r="D3" s="253"/>
      <c r="E3" s="253"/>
      <c r="F3" s="45" t="s">
        <v>34</v>
      </c>
      <c r="G3" s="281" t="str">
        <f>List!C10</f>
        <v>중로(집) 3-16 (No.36 ~ No.41) 노체 3단(9층)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0.33</v>
      </c>
      <c r="E8" s="22">
        <v>0.24</v>
      </c>
      <c r="F8" s="150">
        <f>IFERROR((D8+E8)/2," ")</f>
        <v>0.28500000000000003</v>
      </c>
      <c r="G8" s="23">
        <f>F8-F7</f>
        <v>0.28500000000000003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0.33999999999999997</v>
      </c>
      <c r="T8" s="133">
        <f>F8+Q8</f>
        <v>0.38500000000000001</v>
      </c>
    </row>
    <row r="9" spans="1:20" ht="14.25" customHeight="1" thickTop="1">
      <c r="A9" s="144">
        <f ca="1">A8+TIME(,RAND()*1+(1-0),RAND()*10+10)</f>
        <v>1.6666666666666666E-3</v>
      </c>
      <c r="B9" s="140">
        <f t="shared" ref="B9:B22" si="0">C9*0.07065</f>
        <v>4.9455</v>
      </c>
      <c r="C9" s="20">
        <v>70</v>
      </c>
      <c r="D9" s="149">
        <v>0.37</v>
      </c>
      <c r="E9" s="22">
        <v>0.26</v>
      </c>
      <c r="F9" s="150">
        <f t="shared" ref="F9:F22" si="1">IFERROR((D9+E9)/2," ")</f>
        <v>0.315</v>
      </c>
      <c r="G9" s="23">
        <f>F9-$F$7</f>
        <v>0.315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0.36</v>
      </c>
      <c r="T9" s="133">
        <f t="shared" si="2"/>
        <v>0.41500000000000004</v>
      </c>
    </row>
    <row r="10" spans="1:20" ht="14.25" customHeight="1">
      <c r="A10" s="144">
        <f ca="1">A9+TIME(,RAND()*1+(1-0),RAND()*10+5)</f>
        <v>2.4652777777777776E-3</v>
      </c>
      <c r="B10" s="140">
        <f t="shared" si="0"/>
        <v>7.4182500000000005</v>
      </c>
      <c r="C10" s="20">
        <v>105</v>
      </c>
      <c r="D10" s="149">
        <v>0.59</v>
      </c>
      <c r="E10" s="22">
        <v>0.53</v>
      </c>
      <c r="F10" s="150">
        <f t="shared" si="1"/>
        <v>0.56000000000000005</v>
      </c>
      <c r="G10" s="23">
        <f t="shared" ref="G10:G22" si="3">F10-$F$7</f>
        <v>0.56000000000000005</v>
      </c>
      <c r="H10" s="217"/>
      <c r="I10" s="218"/>
      <c r="J10" s="219"/>
      <c r="K10" s="24" t="s">
        <v>15</v>
      </c>
      <c r="L10" s="25">
        <v>0</v>
      </c>
      <c r="M10" s="62">
        <f>K13</f>
        <v>469</v>
      </c>
      <c r="N10" s="2"/>
      <c r="P10" s="3">
        <v>0.1</v>
      </c>
      <c r="Q10" s="3">
        <v>0.1</v>
      </c>
      <c r="S10" s="133">
        <f t="shared" si="2"/>
        <v>0.63</v>
      </c>
      <c r="T10" s="133">
        <f t="shared" si="2"/>
        <v>0.66</v>
      </c>
    </row>
    <row r="11" spans="1:20" ht="14.25" customHeight="1" thickBot="1">
      <c r="A11" s="144">
        <f ca="1">A10+TIME(,RAND()*1+(1-0),RAND()*10+5)</f>
        <v>3.2754629629629627E-3</v>
      </c>
      <c r="B11" s="140">
        <f t="shared" si="0"/>
        <v>9.891</v>
      </c>
      <c r="C11" s="20">
        <v>140</v>
      </c>
      <c r="D11" s="149">
        <v>0.82</v>
      </c>
      <c r="E11" s="22">
        <v>0.59</v>
      </c>
      <c r="F11" s="150">
        <f t="shared" si="1"/>
        <v>0.70499999999999996</v>
      </c>
      <c r="G11" s="23">
        <f t="shared" si="3"/>
        <v>0.70499999999999996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0.69</v>
      </c>
      <c r="T11" s="133">
        <f t="shared" si="2"/>
        <v>0.80499999999999994</v>
      </c>
    </row>
    <row r="12" spans="1:20" ht="14.25" customHeight="1" thickTop="1">
      <c r="A12" s="144">
        <f ca="1">A11+TIME(,RAND()*1+(1-0),RAND()*10+10)</f>
        <v>4.1550925925925922E-3</v>
      </c>
      <c r="B12" s="140">
        <f t="shared" si="0"/>
        <v>12.363750000000001</v>
      </c>
      <c r="C12" s="20">
        <v>175</v>
      </c>
      <c r="D12" s="149">
        <v>1</v>
      </c>
      <c r="E12" s="22">
        <v>0.84</v>
      </c>
      <c r="F12" s="150">
        <f t="shared" si="1"/>
        <v>0.91999999999999993</v>
      </c>
      <c r="G12" s="23">
        <f t="shared" si="3"/>
        <v>0.91999999999999993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0.94</v>
      </c>
      <c r="T12" s="133">
        <f t="shared" si="2"/>
        <v>1.02</v>
      </c>
    </row>
    <row r="13" spans="1:20" ht="14.25" customHeight="1">
      <c r="A13" s="144">
        <f ca="1">A12+TIME(,RAND()*1+(1-0),RAND()*10+10)</f>
        <v>4.9999999999999992E-3</v>
      </c>
      <c r="B13" s="140">
        <f t="shared" si="0"/>
        <v>14.836500000000001</v>
      </c>
      <c r="C13" s="20">
        <v>210</v>
      </c>
      <c r="D13" s="149">
        <v>1.18</v>
      </c>
      <c r="E13" s="22">
        <v>1.17</v>
      </c>
      <c r="F13" s="150">
        <f t="shared" si="1"/>
        <v>1.1749999999999998</v>
      </c>
      <c r="G13" s="23">
        <f t="shared" si="3"/>
        <v>1.1749999999999998</v>
      </c>
      <c r="H13" s="217" t="s">
        <v>16</v>
      </c>
      <c r="I13" s="218"/>
      <c r="J13" s="219" t="s">
        <v>23</v>
      </c>
      <c r="K13" s="30">
        <v>469</v>
      </c>
      <c r="L13" s="25">
        <f>M10</f>
        <v>469</v>
      </c>
      <c r="M13" s="26">
        <f>L13</f>
        <v>469</v>
      </c>
      <c r="N13" s="2"/>
      <c r="P13" s="3">
        <v>0.1</v>
      </c>
      <c r="Q13" s="3">
        <v>0.1</v>
      </c>
      <c r="S13" s="133">
        <f t="shared" si="2"/>
        <v>1.27</v>
      </c>
      <c r="T13" s="133">
        <f t="shared" si="2"/>
        <v>1.2749999999999999</v>
      </c>
    </row>
    <row r="14" spans="1:20" ht="14.25" customHeight="1" thickBot="1">
      <c r="A14" s="144">
        <f ca="1">A13+TIME(,RAND()*1+(1-0),RAND()*10+10)</f>
        <v>5.8796296296296287E-3</v>
      </c>
      <c r="B14" s="140">
        <f t="shared" si="0"/>
        <v>17.309250000000002</v>
      </c>
      <c r="C14" s="20">
        <v>245</v>
      </c>
      <c r="D14" s="149">
        <v>1.21</v>
      </c>
      <c r="E14" s="22">
        <v>1.47</v>
      </c>
      <c r="F14" s="150">
        <f t="shared" si="1"/>
        <v>1.3399999999999999</v>
      </c>
      <c r="G14" s="23">
        <f t="shared" si="3"/>
        <v>1.3399999999999999</v>
      </c>
      <c r="H14" s="217"/>
      <c r="I14" s="218"/>
      <c r="J14" s="219"/>
      <c r="K14" s="17">
        <f>K13/2.5</f>
        <v>187.6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1.57</v>
      </c>
      <c r="T14" s="133">
        <f t="shared" si="2"/>
        <v>1.44</v>
      </c>
    </row>
    <row r="15" spans="1:20" ht="14.25" customHeight="1" thickTop="1" thickBot="1">
      <c r="A15" s="144">
        <f ca="1">A14+TIME(,RAND()*1+(1-0),RAND()*10+10)</f>
        <v>6.7592592592592583E-3</v>
      </c>
      <c r="B15" s="140">
        <f t="shared" si="0"/>
        <v>19.782</v>
      </c>
      <c r="C15" s="20">
        <v>280</v>
      </c>
      <c r="D15" s="149">
        <v>1.27</v>
      </c>
      <c r="E15" s="22">
        <v>1.5</v>
      </c>
      <c r="F15" s="150">
        <f t="shared" si="1"/>
        <v>1.385</v>
      </c>
      <c r="G15" s="23">
        <f t="shared" si="3"/>
        <v>1.385</v>
      </c>
      <c r="H15" s="217" t="s">
        <v>16</v>
      </c>
      <c r="I15" s="218"/>
      <c r="J15" s="220" t="s">
        <v>27</v>
      </c>
      <c r="K15" s="2">
        <f>ROUND(K14,1)*1.3</f>
        <v>243.88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1.6</v>
      </c>
      <c r="T15" s="133">
        <f t="shared" si="2"/>
        <v>1.4850000000000001</v>
      </c>
    </row>
    <row r="16" spans="1:20" ht="14.25" customHeight="1">
      <c r="A16" s="144">
        <f ca="1">A15+TIME(,RAND()*1+(1-0),RAND()*10+10)</f>
        <v>7.6388888888888878E-3</v>
      </c>
      <c r="B16" s="140">
        <f t="shared" si="0"/>
        <v>22.254750000000001</v>
      </c>
      <c r="C16" s="20">
        <v>315</v>
      </c>
      <c r="D16" s="149">
        <v>1.5</v>
      </c>
      <c r="E16" s="22">
        <v>1.83</v>
      </c>
      <c r="F16" s="150">
        <f t="shared" si="1"/>
        <v>1.665</v>
      </c>
      <c r="G16" s="23">
        <f t="shared" si="3"/>
        <v>1.665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8.4722222222222213E-3</v>
      </c>
      <c r="B17" s="140">
        <f t="shared" si="0"/>
        <v>24.727500000000003</v>
      </c>
      <c r="C17" s="20">
        <v>350</v>
      </c>
      <c r="D17" s="149">
        <v>1.72</v>
      </c>
      <c r="E17" s="22">
        <v>2.06</v>
      </c>
      <c r="F17" s="150">
        <f t="shared" si="1"/>
        <v>1.8900000000000001</v>
      </c>
      <c r="G17" s="23">
        <f t="shared" si="3"/>
        <v>1.8900000000000001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9.3402777777777772E-3</v>
      </c>
      <c r="B18" s="140">
        <f t="shared" si="0"/>
        <v>27.20025</v>
      </c>
      <c r="C18" s="20">
        <v>385</v>
      </c>
      <c r="D18" s="149">
        <v>1.98</v>
      </c>
      <c r="E18" s="22">
        <v>2.0699999999999998</v>
      </c>
      <c r="F18" s="150">
        <f t="shared" si="1"/>
        <v>2.0249999999999999</v>
      </c>
      <c r="G18" s="23">
        <f t="shared" si="3"/>
        <v>2.0249999999999999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1.023148148148148E-2</v>
      </c>
      <c r="B19" s="140">
        <f t="shared" si="0"/>
        <v>29.673000000000002</v>
      </c>
      <c r="C19" s="20">
        <v>420</v>
      </c>
      <c r="D19" s="149">
        <v>2.21</v>
      </c>
      <c r="E19" s="22">
        <v>2.2200000000000002</v>
      </c>
      <c r="F19" s="150">
        <f t="shared" si="1"/>
        <v>2.2149999999999999</v>
      </c>
      <c r="G19" s="23">
        <f t="shared" si="3"/>
        <v>2.2149999999999999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1.1099537037037036E-2</v>
      </c>
      <c r="B20" s="140">
        <f t="shared" si="0"/>
        <v>32.14575</v>
      </c>
      <c r="C20" s="20">
        <v>455</v>
      </c>
      <c r="D20" s="149">
        <v>2.38</v>
      </c>
      <c r="E20" s="22">
        <v>2.37</v>
      </c>
      <c r="F20" s="150">
        <f t="shared" si="1"/>
        <v>2.375</v>
      </c>
      <c r="G20" s="23">
        <f t="shared" si="3"/>
        <v>2.375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1.2002314814814815E-2</v>
      </c>
      <c r="B21" s="140">
        <f t="shared" si="0"/>
        <v>34.618500000000004</v>
      </c>
      <c r="C21" s="20">
        <v>490</v>
      </c>
      <c r="D21" s="149">
        <v>2.5499999999999998</v>
      </c>
      <c r="E21" s="22">
        <v>2.5099999999999998</v>
      </c>
      <c r="F21" s="150">
        <f t="shared" si="1"/>
        <v>2.5299999999999998</v>
      </c>
      <c r="G21" s="23">
        <f t="shared" si="3"/>
        <v>2.5299999999999998</v>
      </c>
      <c r="H21" s="204" t="str">
        <f>"K30  = "&amp;ROUND(K13,1)&amp;"÷2.5"</f>
        <v>K30  = 469÷2.5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1.2824074074074075E-2</v>
      </c>
      <c r="B22" s="140">
        <f t="shared" si="0"/>
        <v>37.091250000000002</v>
      </c>
      <c r="C22" s="20">
        <v>525</v>
      </c>
      <c r="D22" s="149">
        <v>2.92</v>
      </c>
      <c r="E22" s="22">
        <v>2.6</v>
      </c>
      <c r="F22" s="150">
        <f t="shared" si="1"/>
        <v>2.76</v>
      </c>
      <c r="G22" s="23">
        <f t="shared" si="3"/>
        <v>2.76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187.6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187.6×1.3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243.88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187.6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0B62-B3E2-4552-BD77-064648BFD730}">
  <dimension ref="A1:T66"/>
  <sheetViews>
    <sheetView view="pageBreakPreview" zoomScale="115" zoomScaleNormal="100" zoomScaleSheetLayoutView="115" workbookViewId="0">
      <selection activeCell="N6" sqref="N6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List!B8</f>
        <v>46161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List!A9</f>
        <v>6</v>
      </c>
      <c r="C3" s="253"/>
      <c r="D3" s="253"/>
      <c r="E3" s="253"/>
      <c r="F3" s="45" t="s">
        <v>34</v>
      </c>
      <c r="G3" s="283" t="str">
        <f>List!C8</f>
        <v>중로(집) 3-14 (No.6 ~ No.9),소로(국)3-17  노체 3단(9층)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8.3333333333333339E-4</v>
      </c>
      <c r="B8" s="140">
        <f>C8*0.07065</f>
        <v>2.47275</v>
      </c>
      <c r="C8" s="20">
        <v>35</v>
      </c>
      <c r="D8" s="149">
        <v>0.04</v>
      </c>
      <c r="E8" s="22">
        <v>0.31</v>
      </c>
      <c r="F8" s="150">
        <f>IFERROR((D8+E8)/2," ")</f>
        <v>0.17499999999999999</v>
      </c>
      <c r="G8" s="23">
        <f>F8-F7</f>
        <v>0.17499999999999999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0.41000000000000003</v>
      </c>
      <c r="T8" s="133">
        <f>F8+Q8</f>
        <v>0.27500000000000002</v>
      </c>
    </row>
    <row r="9" spans="1:20" ht="14.25" customHeight="1" thickTop="1">
      <c r="A9" s="144">
        <f ca="1">A8+TIME(,RAND()*1+(1-0),RAND()*10+10)</f>
        <v>1.736111111111111E-3</v>
      </c>
      <c r="B9" s="140">
        <f t="shared" ref="B9:B22" si="0">C9*0.07065</f>
        <v>4.9455</v>
      </c>
      <c r="C9" s="20">
        <v>70</v>
      </c>
      <c r="D9" s="149">
        <v>0.1</v>
      </c>
      <c r="E9" s="22">
        <v>0.62</v>
      </c>
      <c r="F9" s="150">
        <f t="shared" ref="F9:F22" si="1">IFERROR((D9+E9)/2," ")</f>
        <v>0.36</v>
      </c>
      <c r="G9" s="23">
        <f>F9-$F$7</f>
        <v>0.36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0.72</v>
      </c>
      <c r="T9" s="133">
        <f t="shared" si="2"/>
        <v>0.45999999999999996</v>
      </c>
    </row>
    <row r="10" spans="1:20" ht="14.25" customHeight="1">
      <c r="A10" s="144">
        <f ca="1">A9+TIME(,RAND()*1+(1-0),RAND()*10+5)</f>
        <v>2.5115740740740741E-3</v>
      </c>
      <c r="B10" s="140">
        <f t="shared" si="0"/>
        <v>7.4182500000000005</v>
      </c>
      <c r="C10" s="20">
        <v>105</v>
      </c>
      <c r="D10" s="149">
        <v>0.37</v>
      </c>
      <c r="E10" s="22">
        <v>0.91</v>
      </c>
      <c r="F10" s="150">
        <f t="shared" si="1"/>
        <v>0.64</v>
      </c>
      <c r="G10" s="23">
        <f t="shared" ref="G10:G22" si="3">F10-$F$7</f>
        <v>0.64</v>
      </c>
      <c r="H10" s="217"/>
      <c r="I10" s="218"/>
      <c r="J10" s="219"/>
      <c r="K10" s="24" t="s">
        <v>15</v>
      </c>
      <c r="L10" s="25">
        <v>0</v>
      </c>
      <c r="M10" s="62">
        <f>K13</f>
        <v>443</v>
      </c>
      <c r="N10" s="2"/>
      <c r="P10" s="3">
        <v>0.1</v>
      </c>
      <c r="Q10" s="3">
        <v>0.1</v>
      </c>
      <c r="S10" s="133">
        <f t="shared" si="2"/>
        <v>1.01</v>
      </c>
      <c r="T10" s="133">
        <f t="shared" si="2"/>
        <v>0.74</v>
      </c>
    </row>
    <row r="11" spans="1:20" ht="14.25" customHeight="1" thickBot="1">
      <c r="A11" s="144">
        <f ca="1">A10+TIME(,RAND()*1+(1-0),RAND()*10+5)</f>
        <v>3.2986111111111111E-3</v>
      </c>
      <c r="B11" s="140">
        <f t="shared" si="0"/>
        <v>9.891</v>
      </c>
      <c r="C11" s="20">
        <v>140</v>
      </c>
      <c r="D11" s="149">
        <v>0.57999999999999996</v>
      </c>
      <c r="E11" s="22">
        <v>1.18</v>
      </c>
      <c r="F11" s="150">
        <f t="shared" si="1"/>
        <v>0.87999999999999989</v>
      </c>
      <c r="G11" s="23">
        <f t="shared" si="3"/>
        <v>0.87999999999999989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1.28</v>
      </c>
      <c r="T11" s="133">
        <f t="shared" si="2"/>
        <v>0.97999999999999987</v>
      </c>
    </row>
    <row r="12" spans="1:20" ht="14.25" customHeight="1" thickTop="1">
      <c r="A12" s="144">
        <f ca="1">A11+TIME(,RAND()*1+(1-0),RAND()*10+10)</f>
        <v>4.178240740740741E-3</v>
      </c>
      <c r="B12" s="140">
        <f t="shared" si="0"/>
        <v>12.363750000000001</v>
      </c>
      <c r="C12" s="20">
        <v>175</v>
      </c>
      <c r="D12" s="149">
        <v>0.84</v>
      </c>
      <c r="E12" s="22">
        <v>1.39</v>
      </c>
      <c r="F12" s="150">
        <f t="shared" si="1"/>
        <v>1.115</v>
      </c>
      <c r="G12" s="23">
        <f t="shared" si="3"/>
        <v>1.115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1.49</v>
      </c>
      <c r="T12" s="133">
        <f t="shared" si="2"/>
        <v>1.2150000000000001</v>
      </c>
    </row>
    <row r="13" spans="1:20" ht="14.25" customHeight="1">
      <c r="A13" s="144">
        <f ca="1">A12+TIME(,RAND()*1+(1-0),RAND()*10+10)</f>
        <v>5.0231481481481481E-3</v>
      </c>
      <c r="B13" s="140">
        <f t="shared" si="0"/>
        <v>14.836500000000001</v>
      </c>
      <c r="C13" s="20">
        <v>210</v>
      </c>
      <c r="D13" s="149">
        <v>0.95</v>
      </c>
      <c r="E13" s="22">
        <v>1.55</v>
      </c>
      <c r="F13" s="150">
        <f t="shared" si="1"/>
        <v>1.25</v>
      </c>
      <c r="G13" s="23">
        <f t="shared" si="3"/>
        <v>1.25</v>
      </c>
      <c r="H13" s="217" t="s">
        <v>16</v>
      </c>
      <c r="I13" s="218"/>
      <c r="J13" s="219" t="s">
        <v>23</v>
      </c>
      <c r="K13" s="30">
        <v>443</v>
      </c>
      <c r="L13" s="25">
        <f>M10</f>
        <v>443</v>
      </c>
      <c r="M13" s="26">
        <f>L13</f>
        <v>443</v>
      </c>
      <c r="N13" s="2"/>
      <c r="P13" s="3">
        <v>0.1</v>
      </c>
      <c r="Q13" s="3">
        <v>0.1</v>
      </c>
      <c r="S13" s="133">
        <f t="shared" si="2"/>
        <v>1.6500000000000001</v>
      </c>
      <c r="T13" s="133">
        <f t="shared" si="2"/>
        <v>1.35</v>
      </c>
    </row>
    <row r="14" spans="1:20" ht="14.25" customHeight="1" thickBot="1">
      <c r="A14" s="144">
        <f ca="1">A13+TIME(,RAND()*1+(1-0),RAND()*10+10)</f>
        <v>5.8333333333333336E-3</v>
      </c>
      <c r="B14" s="140">
        <f t="shared" si="0"/>
        <v>17.309250000000002</v>
      </c>
      <c r="C14" s="20">
        <v>245</v>
      </c>
      <c r="D14" s="149">
        <v>1.05</v>
      </c>
      <c r="E14" s="22">
        <v>1.87</v>
      </c>
      <c r="F14" s="150">
        <f t="shared" si="1"/>
        <v>1.46</v>
      </c>
      <c r="G14" s="23">
        <f t="shared" si="3"/>
        <v>1.46</v>
      </c>
      <c r="H14" s="217"/>
      <c r="I14" s="218"/>
      <c r="J14" s="219"/>
      <c r="K14" s="17">
        <f>K13/2.5</f>
        <v>177.2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1.9700000000000002</v>
      </c>
      <c r="T14" s="133">
        <f t="shared" si="2"/>
        <v>1.56</v>
      </c>
    </row>
    <row r="15" spans="1:20" ht="14.25" customHeight="1" thickTop="1" thickBot="1">
      <c r="A15" s="144">
        <f ca="1">A14+TIME(,RAND()*1+(1-0),RAND()*10+10)</f>
        <v>6.7245370370370375E-3</v>
      </c>
      <c r="B15" s="140">
        <f t="shared" si="0"/>
        <v>19.782</v>
      </c>
      <c r="C15" s="20">
        <v>280</v>
      </c>
      <c r="D15" s="149">
        <v>1.34</v>
      </c>
      <c r="E15" s="22">
        <v>2</v>
      </c>
      <c r="F15" s="150">
        <f t="shared" si="1"/>
        <v>1.67</v>
      </c>
      <c r="G15" s="23">
        <f t="shared" si="3"/>
        <v>1.67</v>
      </c>
      <c r="H15" s="217" t="s">
        <v>16</v>
      </c>
      <c r="I15" s="218"/>
      <c r="J15" s="220" t="s">
        <v>27</v>
      </c>
      <c r="K15" s="2">
        <f>ROUND(K14,1)*1.3</f>
        <v>230.35999999999999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2.1</v>
      </c>
      <c r="T15" s="133">
        <f t="shared" si="2"/>
        <v>1.77</v>
      </c>
    </row>
    <row r="16" spans="1:20" ht="14.25" customHeight="1">
      <c r="A16" s="144">
        <f ca="1">A15+TIME(,RAND()*1+(1-0),RAND()*10+10)</f>
        <v>7.5462962962962966E-3</v>
      </c>
      <c r="B16" s="140">
        <f t="shared" si="0"/>
        <v>22.254750000000001</v>
      </c>
      <c r="C16" s="20">
        <v>315</v>
      </c>
      <c r="D16" s="149">
        <v>1.53</v>
      </c>
      <c r="E16" s="22">
        <v>2.11</v>
      </c>
      <c r="F16" s="150">
        <f t="shared" si="1"/>
        <v>1.8199999999999998</v>
      </c>
      <c r="G16" s="23">
        <f t="shared" si="3"/>
        <v>1.8199999999999998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8.4490740740740741E-3</v>
      </c>
      <c r="B17" s="140">
        <f t="shared" si="0"/>
        <v>24.727500000000003</v>
      </c>
      <c r="C17" s="20">
        <v>350</v>
      </c>
      <c r="D17" s="149">
        <v>1.55</v>
      </c>
      <c r="E17" s="22">
        <v>2.44</v>
      </c>
      <c r="F17" s="150">
        <f t="shared" si="1"/>
        <v>1.9950000000000001</v>
      </c>
      <c r="G17" s="23">
        <f t="shared" si="3"/>
        <v>1.9950000000000001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9.3634259259259261E-3</v>
      </c>
      <c r="B18" s="140">
        <f t="shared" si="0"/>
        <v>27.20025</v>
      </c>
      <c r="C18" s="20">
        <v>385</v>
      </c>
      <c r="D18" s="149">
        <v>1.66</v>
      </c>
      <c r="E18" s="22">
        <v>2.67</v>
      </c>
      <c r="F18" s="150">
        <f t="shared" si="1"/>
        <v>2.165</v>
      </c>
      <c r="G18" s="23">
        <f t="shared" si="3"/>
        <v>2.165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1.0266203703703704E-2</v>
      </c>
      <c r="B19" s="140">
        <f t="shared" si="0"/>
        <v>29.673000000000002</v>
      </c>
      <c r="C19" s="20">
        <v>420</v>
      </c>
      <c r="D19" s="149">
        <v>1.72</v>
      </c>
      <c r="E19" s="22">
        <v>2.76</v>
      </c>
      <c r="F19" s="150">
        <f t="shared" si="1"/>
        <v>2.2399999999999998</v>
      </c>
      <c r="G19" s="23">
        <f t="shared" si="3"/>
        <v>2.2399999999999998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1.1076388888888889E-2</v>
      </c>
      <c r="B20" s="140">
        <f t="shared" si="0"/>
        <v>32.14575</v>
      </c>
      <c r="C20" s="20">
        <v>455</v>
      </c>
      <c r="D20" s="149">
        <v>1.95</v>
      </c>
      <c r="E20" s="22">
        <v>3.06</v>
      </c>
      <c r="F20" s="150">
        <f t="shared" si="1"/>
        <v>2.5049999999999999</v>
      </c>
      <c r="G20" s="23">
        <f t="shared" si="3"/>
        <v>2.5049999999999999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1.1990740740740741E-2</v>
      </c>
      <c r="B21" s="140">
        <f t="shared" si="0"/>
        <v>34.618500000000004</v>
      </c>
      <c r="C21" s="20">
        <v>490</v>
      </c>
      <c r="D21" s="149">
        <v>2.2400000000000002</v>
      </c>
      <c r="E21" s="22">
        <v>3.16</v>
      </c>
      <c r="F21" s="150">
        <f t="shared" si="1"/>
        <v>2.7</v>
      </c>
      <c r="G21" s="23">
        <f t="shared" si="3"/>
        <v>2.7</v>
      </c>
      <c r="H21" s="204" t="str">
        <f>"K30  = "&amp;ROUND(K13,1)&amp;"÷2.5"</f>
        <v>K30  = 443÷2.5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1.2893518518518519E-2</v>
      </c>
      <c r="B22" s="140">
        <f t="shared" si="0"/>
        <v>37.091250000000002</v>
      </c>
      <c r="C22" s="20">
        <v>525</v>
      </c>
      <c r="D22" s="149">
        <v>3.07</v>
      </c>
      <c r="E22" s="22">
        <v>4.04</v>
      </c>
      <c r="F22" s="150">
        <f t="shared" si="1"/>
        <v>3.5549999999999997</v>
      </c>
      <c r="G22" s="23">
        <f t="shared" si="3"/>
        <v>3.5549999999999997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177.2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177.2×1.3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230.35999999999999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177.2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7779-4FC9-47FA-91E2-BD6B8BD85FD1}">
  <dimension ref="A1:T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List!B8</f>
        <v>46161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List!A8</f>
        <v>5</v>
      </c>
      <c r="C3" s="253"/>
      <c r="D3" s="253"/>
      <c r="E3" s="253"/>
      <c r="F3" s="45" t="s">
        <v>34</v>
      </c>
      <c r="G3" s="283" t="str">
        <f>List!C8</f>
        <v>중로(집) 3-14 (No.6 ~ No.9),소로(국)3-17  노체 3단(9층)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8.4490740740740739E-4</v>
      </c>
      <c r="B8" s="140">
        <f>C8*0.07065</f>
        <v>2.47275</v>
      </c>
      <c r="C8" s="20">
        <v>35</v>
      </c>
      <c r="D8" s="149">
        <v>0.28999999999999998</v>
      </c>
      <c r="E8" s="22">
        <v>0.28999999999999998</v>
      </c>
      <c r="F8" s="150">
        <f>IFERROR((D8+E8)/2," ")</f>
        <v>0.28999999999999998</v>
      </c>
      <c r="G8" s="23">
        <f>F8-F7</f>
        <v>0.28999999999999998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0.39</v>
      </c>
      <c r="T8" s="133">
        <f>F8+Q8</f>
        <v>0.39</v>
      </c>
    </row>
    <row r="9" spans="1:20" ht="14.25" customHeight="1" thickTop="1">
      <c r="A9" s="144">
        <f ca="1">A8+TIME(,RAND()*1+(1-0),RAND()*10+10)</f>
        <v>1.6782407407407408E-3</v>
      </c>
      <c r="B9" s="140">
        <f t="shared" ref="B9:B22" si="0">C9*0.07065</f>
        <v>4.9455</v>
      </c>
      <c r="C9" s="20">
        <v>70</v>
      </c>
      <c r="D9" s="149">
        <v>0.57999999999999996</v>
      </c>
      <c r="E9" s="22">
        <v>0.52</v>
      </c>
      <c r="F9" s="150">
        <f t="shared" ref="F9:F22" si="1">IFERROR((D9+E9)/2," ")</f>
        <v>0.55000000000000004</v>
      </c>
      <c r="G9" s="23">
        <f>F9-$F$7</f>
        <v>0.55000000000000004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0.62</v>
      </c>
      <c r="T9" s="133">
        <f t="shared" si="2"/>
        <v>0.65</v>
      </c>
    </row>
    <row r="10" spans="1:20" ht="14.25" customHeight="1">
      <c r="A10" s="144">
        <f ca="1">A9+TIME(,RAND()*1+(1-0),RAND()*10+5)</f>
        <v>2.5347222222222221E-3</v>
      </c>
      <c r="B10" s="140">
        <f t="shared" si="0"/>
        <v>7.4182500000000005</v>
      </c>
      <c r="C10" s="20">
        <v>105</v>
      </c>
      <c r="D10" s="149">
        <v>0.88</v>
      </c>
      <c r="E10" s="22">
        <v>0.72</v>
      </c>
      <c r="F10" s="150">
        <f t="shared" si="1"/>
        <v>0.8</v>
      </c>
      <c r="G10" s="23">
        <f t="shared" ref="G10:G22" si="3">F10-$F$7</f>
        <v>0.8</v>
      </c>
      <c r="H10" s="217"/>
      <c r="I10" s="218"/>
      <c r="J10" s="219"/>
      <c r="K10" s="24" t="s">
        <v>15</v>
      </c>
      <c r="L10" s="25">
        <v>0</v>
      </c>
      <c r="M10" s="62">
        <f>K13</f>
        <v>457</v>
      </c>
      <c r="N10" s="2"/>
      <c r="P10" s="3">
        <v>0.1</v>
      </c>
      <c r="Q10" s="3">
        <v>0.1</v>
      </c>
      <c r="S10" s="133">
        <f t="shared" si="2"/>
        <v>0.82</v>
      </c>
      <c r="T10" s="133">
        <f t="shared" si="2"/>
        <v>0.9</v>
      </c>
    </row>
    <row r="11" spans="1:20" ht="14.25" customHeight="1" thickBot="1">
      <c r="A11" s="144">
        <f ca="1">A10+TIME(,RAND()*1+(1-0),RAND()*10+5)</f>
        <v>3.3217592592592591E-3</v>
      </c>
      <c r="B11" s="140">
        <f t="shared" si="0"/>
        <v>9.891</v>
      </c>
      <c r="C11" s="20">
        <v>140</v>
      </c>
      <c r="D11" s="149">
        <v>1</v>
      </c>
      <c r="E11" s="22">
        <v>1.01</v>
      </c>
      <c r="F11" s="150">
        <f t="shared" si="1"/>
        <v>1.0049999999999999</v>
      </c>
      <c r="G11" s="23">
        <f t="shared" si="3"/>
        <v>1.0049999999999999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1.1100000000000001</v>
      </c>
      <c r="T11" s="133">
        <f t="shared" si="2"/>
        <v>1.105</v>
      </c>
    </row>
    <row r="12" spans="1:20" ht="14.25" customHeight="1" thickTop="1">
      <c r="A12" s="144">
        <f ca="1">A11+TIME(,RAND()*1+(1-0),RAND()*10+10)</f>
        <v>4.1435185185185186E-3</v>
      </c>
      <c r="B12" s="140">
        <f t="shared" si="0"/>
        <v>12.363750000000001</v>
      </c>
      <c r="C12" s="20">
        <v>175</v>
      </c>
      <c r="D12" s="149">
        <v>1.1000000000000001</v>
      </c>
      <c r="E12" s="22">
        <v>1.23</v>
      </c>
      <c r="F12" s="150">
        <f t="shared" si="1"/>
        <v>1.165</v>
      </c>
      <c r="G12" s="23">
        <f t="shared" si="3"/>
        <v>1.165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1.33</v>
      </c>
      <c r="T12" s="133">
        <f t="shared" si="2"/>
        <v>1.2650000000000001</v>
      </c>
    </row>
    <row r="13" spans="1:20" ht="14.25" customHeight="1">
      <c r="A13" s="144">
        <f ca="1">A12+TIME(,RAND()*1+(1-0),RAND()*10+10)</f>
        <v>4.9884259259259257E-3</v>
      </c>
      <c r="B13" s="140">
        <f t="shared" si="0"/>
        <v>14.836500000000001</v>
      </c>
      <c r="C13" s="20">
        <v>210</v>
      </c>
      <c r="D13" s="149">
        <v>1.31</v>
      </c>
      <c r="E13" s="22">
        <v>1.45</v>
      </c>
      <c r="F13" s="150">
        <f t="shared" si="1"/>
        <v>1.38</v>
      </c>
      <c r="G13" s="23">
        <f t="shared" si="3"/>
        <v>1.38</v>
      </c>
      <c r="H13" s="217" t="s">
        <v>16</v>
      </c>
      <c r="I13" s="218"/>
      <c r="J13" s="219" t="s">
        <v>23</v>
      </c>
      <c r="K13" s="30">
        <v>457</v>
      </c>
      <c r="L13" s="25">
        <f>M10</f>
        <v>457</v>
      </c>
      <c r="M13" s="26">
        <f>L13</f>
        <v>457</v>
      </c>
      <c r="N13" s="2"/>
      <c r="P13" s="3">
        <v>0.1</v>
      </c>
      <c r="Q13" s="3">
        <v>0.1</v>
      </c>
      <c r="S13" s="133">
        <f t="shared" si="2"/>
        <v>1.55</v>
      </c>
      <c r="T13" s="133">
        <f t="shared" si="2"/>
        <v>1.48</v>
      </c>
    </row>
    <row r="14" spans="1:20" ht="14.25" customHeight="1" thickBot="1">
      <c r="A14" s="144">
        <f ca="1">A13+TIME(,RAND()*1+(1-0),RAND()*10+10)</f>
        <v>5.8796296296296296E-3</v>
      </c>
      <c r="B14" s="140">
        <f t="shared" si="0"/>
        <v>17.309250000000002</v>
      </c>
      <c r="C14" s="20">
        <v>245</v>
      </c>
      <c r="D14" s="149">
        <v>1.42</v>
      </c>
      <c r="E14" s="22">
        <v>1.46</v>
      </c>
      <c r="F14" s="150">
        <f t="shared" si="1"/>
        <v>1.44</v>
      </c>
      <c r="G14" s="23">
        <f t="shared" si="3"/>
        <v>1.44</v>
      </c>
      <c r="H14" s="217"/>
      <c r="I14" s="218"/>
      <c r="J14" s="219"/>
      <c r="K14" s="17">
        <f>K13/2.5</f>
        <v>182.8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1.56</v>
      </c>
      <c r="T14" s="133">
        <f t="shared" si="2"/>
        <v>1.54</v>
      </c>
    </row>
    <row r="15" spans="1:20" ht="14.25" customHeight="1" thickTop="1" thickBot="1">
      <c r="A15" s="144">
        <f ca="1">A14+TIME(,RAND()*1+(1-0),RAND()*10+10)</f>
        <v>6.7824074074074071E-3</v>
      </c>
      <c r="B15" s="140">
        <f t="shared" si="0"/>
        <v>19.782</v>
      </c>
      <c r="C15" s="20">
        <v>280</v>
      </c>
      <c r="D15" s="149">
        <v>1.75</v>
      </c>
      <c r="E15" s="22">
        <v>1.49</v>
      </c>
      <c r="F15" s="150">
        <f t="shared" si="1"/>
        <v>1.62</v>
      </c>
      <c r="G15" s="23">
        <f t="shared" si="3"/>
        <v>1.62</v>
      </c>
      <c r="H15" s="217" t="s">
        <v>16</v>
      </c>
      <c r="I15" s="218"/>
      <c r="J15" s="220" t="s">
        <v>27</v>
      </c>
      <c r="K15" s="2">
        <f>ROUND(K14,1)*1.3</f>
        <v>237.64000000000001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1.59</v>
      </c>
      <c r="T15" s="133">
        <f t="shared" si="2"/>
        <v>1.7200000000000002</v>
      </c>
    </row>
    <row r="16" spans="1:20" ht="14.25" customHeight="1">
      <c r="A16" s="144">
        <f ca="1">A15+TIME(,RAND()*1+(1-0),RAND()*10+10)</f>
        <v>7.6273148148148142E-3</v>
      </c>
      <c r="B16" s="140">
        <f t="shared" si="0"/>
        <v>22.254750000000001</v>
      </c>
      <c r="C16" s="20">
        <v>315</v>
      </c>
      <c r="D16" s="149">
        <v>1.8</v>
      </c>
      <c r="E16" s="22">
        <v>1.81</v>
      </c>
      <c r="F16" s="150">
        <f t="shared" si="1"/>
        <v>1.8050000000000002</v>
      </c>
      <c r="G16" s="23">
        <f t="shared" si="3"/>
        <v>1.8050000000000002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4">A16+TIME(,RAND()*1+(1-0),RAND()*10+10)</f>
        <v>8.4953703703703701E-3</v>
      </c>
      <c r="B17" s="140">
        <f t="shared" si="0"/>
        <v>24.727500000000003</v>
      </c>
      <c r="C17" s="20">
        <v>350</v>
      </c>
      <c r="D17" s="149">
        <v>1.89</v>
      </c>
      <c r="E17" s="22">
        <v>1.98</v>
      </c>
      <c r="F17" s="150">
        <f t="shared" si="1"/>
        <v>1.9350000000000001</v>
      </c>
      <c r="G17" s="23">
        <f t="shared" si="3"/>
        <v>1.9350000000000001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9.3634259259259261E-3</v>
      </c>
      <c r="B18" s="140">
        <f t="shared" si="0"/>
        <v>27.20025</v>
      </c>
      <c r="C18" s="20">
        <v>385</v>
      </c>
      <c r="D18" s="149">
        <v>2.2200000000000002</v>
      </c>
      <c r="E18" s="22">
        <v>2</v>
      </c>
      <c r="F18" s="150">
        <f t="shared" si="1"/>
        <v>2.1100000000000003</v>
      </c>
      <c r="G18" s="23">
        <f t="shared" si="3"/>
        <v>2.1100000000000003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1.0243055555555556E-2</v>
      </c>
      <c r="B19" s="140">
        <f t="shared" si="0"/>
        <v>29.673000000000002</v>
      </c>
      <c r="C19" s="20">
        <v>420</v>
      </c>
      <c r="D19" s="149">
        <v>2.44</v>
      </c>
      <c r="E19" s="22">
        <v>2.1800000000000002</v>
      </c>
      <c r="F19" s="150">
        <f t="shared" si="1"/>
        <v>2.31</v>
      </c>
      <c r="G19" s="23">
        <f t="shared" si="3"/>
        <v>2.31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1.1099537037037036E-2</v>
      </c>
      <c r="B20" s="140">
        <f t="shared" si="0"/>
        <v>32.14575</v>
      </c>
      <c r="C20" s="20">
        <v>455</v>
      </c>
      <c r="D20" s="149">
        <v>2.4900000000000002</v>
      </c>
      <c r="E20" s="22">
        <v>2.41</v>
      </c>
      <c r="F20" s="150">
        <f t="shared" si="1"/>
        <v>2.4500000000000002</v>
      </c>
      <c r="G20" s="23">
        <f t="shared" si="3"/>
        <v>2.4500000000000002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1.1967592592592592E-2</v>
      </c>
      <c r="B21" s="140">
        <f t="shared" si="0"/>
        <v>34.618500000000004</v>
      </c>
      <c r="C21" s="20">
        <v>490</v>
      </c>
      <c r="D21" s="149">
        <v>2.69</v>
      </c>
      <c r="E21" s="22">
        <v>2.66</v>
      </c>
      <c r="F21" s="150">
        <f t="shared" si="1"/>
        <v>2.6749999999999998</v>
      </c>
      <c r="G21" s="23">
        <f t="shared" si="3"/>
        <v>2.6749999999999998</v>
      </c>
      <c r="H21" s="204" t="str">
        <f>"K30  = "&amp;ROUND(K13,1)&amp;"÷2.5"</f>
        <v>K30  = 457÷2.5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1.2800925925925926E-2</v>
      </c>
      <c r="B22" s="140">
        <f t="shared" si="0"/>
        <v>37.091250000000002</v>
      </c>
      <c r="C22" s="20">
        <v>525</v>
      </c>
      <c r="D22" s="149">
        <v>3.19</v>
      </c>
      <c r="E22" s="22">
        <v>2.84</v>
      </c>
      <c r="F22" s="150">
        <f t="shared" si="1"/>
        <v>3.0149999999999997</v>
      </c>
      <c r="G22" s="23">
        <f t="shared" si="3"/>
        <v>3.0149999999999997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/>
      <c r="B23" s="140"/>
      <c r="C23" s="20"/>
      <c r="D23" s="149"/>
      <c r="E23" s="22"/>
      <c r="F23" s="150"/>
      <c r="G23" s="23"/>
      <c r="H23" s="212">
        <f>K14</f>
        <v>182.8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182.8×1.3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237.64000000000001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182.8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903D-3597-4D04-980C-9542294E6B35}">
  <dimension ref="A1:T66"/>
  <sheetViews>
    <sheetView view="pageBreakPreview" topLeftCell="A20" zoomScale="115" zoomScaleNormal="100" zoomScaleSheetLayoutView="115" workbookViewId="0">
      <selection activeCell="P47" sqref="P47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List!B7</f>
        <v>46160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List!A7</f>
        <v>4</v>
      </c>
      <c r="C3" s="253"/>
      <c r="D3" s="253"/>
      <c r="E3" s="253"/>
      <c r="F3" s="45" t="s">
        <v>34</v>
      </c>
      <c r="G3" s="281" t="str">
        <f>List!C7</f>
        <v>중로(집) 3-16 (No.36 ~ No.41) 노체 2단(6층)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0.2</v>
      </c>
      <c r="E8" s="22">
        <v>0.28999999999999998</v>
      </c>
      <c r="F8" s="150">
        <f>IFERROR((D8+E8)/2," ")</f>
        <v>0.245</v>
      </c>
      <c r="G8" s="23">
        <f>F8-F7</f>
        <v>0.245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0.39</v>
      </c>
      <c r="T8" s="133">
        <f>F8+Q8</f>
        <v>0.34499999999999997</v>
      </c>
    </row>
    <row r="9" spans="1:20" ht="14.25" customHeight="1" thickTop="1">
      <c r="A9" s="144">
        <f ca="1">A8+TIME(,RAND()*1+(1-0),RAND()*10+10)</f>
        <v>1.6435185185185185E-3</v>
      </c>
      <c r="B9" s="140">
        <f t="shared" ref="B9:B23" si="0">C9*0.07065</f>
        <v>4.9455</v>
      </c>
      <c r="C9" s="20">
        <v>70</v>
      </c>
      <c r="D9" s="149">
        <v>0.46</v>
      </c>
      <c r="E9" s="22">
        <v>0.42</v>
      </c>
      <c r="F9" s="150">
        <f t="shared" ref="F9:F23" si="1">IFERROR((D9+E9)/2," ")</f>
        <v>0.44</v>
      </c>
      <c r="G9" s="23">
        <f>F9-$F$7</f>
        <v>0.44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0.52</v>
      </c>
      <c r="T9" s="133">
        <f t="shared" si="2"/>
        <v>0.54</v>
      </c>
    </row>
    <row r="10" spans="1:20" ht="14.25" customHeight="1">
      <c r="A10" s="144">
        <f ca="1">A9+TIME(,RAND()*1+(1-0),RAND()*10+5)</f>
        <v>2.3958333333333331E-3</v>
      </c>
      <c r="B10" s="140">
        <f t="shared" si="0"/>
        <v>7.4182500000000005</v>
      </c>
      <c r="C10" s="20">
        <v>105</v>
      </c>
      <c r="D10" s="149">
        <v>0.68</v>
      </c>
      <c r="E10" s="22">
        <v>0.69</v>
      </c>
      <c r="F10" s="150">
        <f t="shared" si="1"/>
        <v>0.68500000000000005</v>
      </c>
      <c r="G10" s="23">
        <f t="shared" ref="G10:G23" si="3">F10-$F$7</f>
        <v>0.68500000000000005</v>
      </c>
      <c r="H10" s="217"/>
      <c r="I10" s="218"/>
      <c r="J10" s="219"/>
      <c r="K10" s="24" t="s">
        <v>15</v>
      </c>
      <c r="L10" s="25">
        <v>0</v>
      </c>
      <c r="M10" s="62">
        <f>K13</f>
        <v>472</v>
      </c>
      <c r="N10" s="2"/>
      <c r="P10" s="3">
        <v>0.1</v>
      </c>
      <c r="Q10" s="3">
        <v>0.1</v>
      </c>
      <c r="S10" s="133">
        <f t="shared" si="2"/>
        <v>0.78999999999999992</v>
      </c>
      <c r="T10" s="133">
        <f t="shared" si="2"/>
        <v>0.78500000000000003</v>
      </c>
    </row>
    <row r="11" spans="1:20" ht="14.25" customHeight="1" thickBot="1">
      <c r="A11" s="144">
        <f ca="1">A10+TIME(,RAND()*1+(1-0),RAND()*10+5)</f>
        <v>3.2291666666666666E-3</v>
      </c>
      <c r="B11" s="140">
        <f t="shared" si="0"/>
        <v>9.891</v>
      </c>
      <c r="C11" s="20">
        <v>140</v>
      </c>
      <c r="D11" s="149">
        <v>0.84</v>
      </c>
      <c r="E11" s="22">
        <v>0.83</v>
      </c>
      <c r="F11" s="150">
        <f t="shared" si="1"/>
        <v>0.83499999999999996</v>
      </c>
      <c r="G11" s="23">
        <f t="shared" si="3"/>
        <v>0.83499999999999996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0.92999999999999994</v>
      </c>
      <c r="T11" s="133">
        <f t="shared" si="2"/>
        <v>0.93499999999999994</v>
      </c>
    </row>
    <row r="12" spans="1:20" ht="14.25" customHeight="1" thickTop="1">
      <c r="A12" s="144">
        <f ca="1">A11+TIME(,RAND()*1+(1-0),RAND()*10+10)</f>
        <v>4.1319444444444442E-3</v>
      </c>
      <c r="B12" s="140">
        <f t="shared" si="0"/>
        <v>12.363750000000001</v>
      </c>
      <c r="C12" s="20">
        <v>175</v>
      </c>
      <c r="D12" s="149">
        <v>0.87</v>
      </c>
      <c r="E12" s="22">
        <v>1.1100000000000001</v>
      </c>
      <c r="F12" s="150">
        <f t="shared" si="1"/>
        <v>0.99</v>
      </c>
      <c r="G12" s="23">
        <f t="shared" si="3"/>
        <v>0.99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1.2100000000000002</v>
      </c>
      <c r="T12" s="133">
        <f t="shared" si="2"/>
        <v>1.0900000000000001</v>
      </c>
    </row>
    <row r="13" spans="1:20" ht="14.25" customHeight="1">
      <c r="A13" s="144">
        <f ca="1">A12+TIME(,RAND()*1+(1-0),RAND()*10+10)</f>
        <v>5.0347222222222217E-3</v>
      </c>
      <c r="B13" s="140">
        <f t="shared" si="0"/>
        <v>14.836500000000001</v>
      </c>
      <c r="C13" s="20">
        <v>210</v>
      </c>
      <c r="D13" s="149">
        <v>1.02</v>
      </c>
      <c r="E13" s="22">
        <v>1.1200000000000001</v>
      </c>
      <c r="F13" s="150">
        <f t="shared" si="1"/>
        <v>1.07</v>
      </c>
      <c r="G13" s="23">
        <f t="shared" si="3"/>
        <v>1.07</v>
      </c>
      <c r="H13" s="217" t="s">
        <v>16</v>
      </c>
      <c r="I13" s="218"/>
      <c r="J13" s="219" t="s">
        <v>23</v>
      </c>
      <c r="K13" s="30">
        <v>472</v>
      </c>
      <c r="L13" s="25">
        <f>M10</f>
        <v>472</v>
      </c>
      <c r="M13" s="26">
        <f>L13</f>
        <v>472</v>
      </c>
      <c r="N13" s="2"/>
      <c r="P13" s="3">
        <v>0.1</v>
      </c>
      <c r="Q13" s="3">
        <v>0.1</v>
      </c>
      <c r="S13" s="133">
        <f t="shared" si="2"/>
        <v>1.2200000000000002</v>
      </c>
      <c r="T13" s="133">
        <f t="shared" si="2"/>
        <v>1.1700000000000002</v>
      </c>
    </row>
    <row r="14" spans="1:20" ht="14.25" customHeight="1" thickBot="1">
      <c r="A14" s="144">
        <f ca="1">A13+TIME(,RAND()*1+(1-0),RAND()*10+10)</f>
        <v>5.8912037037037032E-3</v>
      </c>
      <c r="B14" s="140">
        <f t="shared" si="0"/>
        <v>17.309250000000002</v>
      </c>
      <c r="C14" s="20">
        <v>245</v>
      </c>
      <c r="D14" s="149">
        <v>1.35</v>
      </c>
      <c r="E14" s="22">
        <v>1.29</v>
      </c>
      <c r="F14" s="150">
        <f t="shared" si="1"/>
        <v>1.32</v>
      </c>
      <c r="G14" s="23">
        <f t="shared" si="3"/>
        <v>1.32</v>
      </c>
      <c r="H14" s="217"/>
      <c r="I14" s="218"/>
      <c r="J14" s="219"/>
      <c r="K14" s="17">
        <f>K13/2.5</f>
        <v>188.8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1.3900000000000001</v>
      </c>
      <c r="T14" s="133">
        <f t="shared" si="2"/>
        <v>1.4200000000000002</v>
      </c>
    </row>
    <row r="15" spans="1:20" ht="14.25" customHeight="1" thickTop="1" thickBot="1">
      <c r="A15" s="144">
        <f ca="1">A14+TIME(,RAND()*1+(1-0),RAND()*10+10)</f>
        <v>6.7592592592592583E-3</v>
      </c>
      <c r="B15" s="140">
        <f t="shared" si="0"/>
        <v>19.782</v>
      </c>
      <c r="C15" s="20">
        <v>280</v>
      </c>
      <c r="D15" s="149">
        <v>1.49</v>
      </c>
      <c r="E15" s="22">
        <v>1.39</v>
      </c>
      <c r="F15" s="150">
        <f t="shared" si="1"/>
        <v>1.44</v>
      </c>
      <c r="G15" s="23">
        <f t="shared" si="3"/>
        <v>1.44</v>
      </c>
      <c r="H15" s="217" t="s">
        <v>16</v>
      </c>
      <c r="I15" s="218"/>
      <c r="J15" s="220" t="s">
        <v>27</v>
      </c>
      <c r="K15" s="2">
        <f>ROUND(K14,1)*1.3</f>
        <v>245.44000000000003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1.49</v>
      </c>
      <c r="T15" s="133">
        <f t="shared" si="2"/>
        <v>1.54</v>
      </c>
    </row>
    <row r="16" spans="1:20" ht="14.25" customHeight="1">
      <c r="A16" s="144">
        <f ca="1">A15+TIME(,RAND()*1+(1-0),RAND()*10+10)</f>
        <v>7.6157407407407398E-3</v>
      </c>
      <c r="B16" s="140">
        <f t="shared" si="0"/>
        <v>22.254750000000001</v>
      </c>
      <c r="C16" s="20">
        <v>315</v>
      </c>
      <c r="D16" s="149">
        <v>1.67</v>
      </c>
      <c r="E16" s="22">
        <v>1.62</v>
      </c>
      <c r="F16" s="150">
        <f t="shared" si="1"/>
        <v>1.645</v>
      </c>
      <c r="G16" s="23">
        <f t="shared" si="3"/>
        <v>1.645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8.4374999999999988E-3</v>
      </c>
      <c r="B17" s="140">
        <f t="shared" si="0"/>
        <v>24.727500000000003</v>
      </c>
      <c r="C17" s="20">
        <v>350</v>
      </c>
      <c r="D17" s="149">
        <v>1.7</v>
      </c>
      <c r="E17" s="22">
        <v>1.79</v>
      </c>
      <c r="F17" s="150">
        <f t="shared" si="1"/>
        <v>1.7450000000000001</v>
      </c>
      <c r="G17" s="23">
        <f t="shared" si="3"/>
        <v>1.7450000000000001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9.3518518518518508E-3</v>
      </c>
      <c r="B18" s="140">
        <f t="shared" si="0"/>
        <v>27.20025</v>
      </c>
      <c r="C18" s="20">
        <v>385</v>
      </c>
      <c r="D18" s="149">
        <v>1.91</v>
      </c>
      <c r="E18" s="22">
        <v>1.84</v>
      </c>
      <c r="F18" s="150">
        <f t="shared" si="1"/>
        <v>1.875</v>
      </c>
      <c r="G18" s="23">
        <f t="shared" si="3"/>
        <v>1.875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1.0185185185185184E-2</v>
      </c>
      <c r="B19" s="140">
        <f t="shared" si="0"/>
        <v>29.673000000000002</v>
      </c>
      <c r="C19" s="20">
        <v>420</v>
      </c>
      <c r="D19" s="149">
        <v>2.11</v>
      </c>
      <c r="E19" s="22">
        <v>1.92</v>
      </c>
      <c r="F19" s="150">
        <f t="shared" si="1"/>
        <v>2.0149999999999997</v>
      </c>
      <c r="G19" s="23">
        <f t="shared" si="3"/>
        <v>2.0149999999999997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1.1006944444444444E-2</v>
      </c>
      <c r="B20" s="140">
        <f t="shared" si="0"/>
        <v>32.14575</v>
      </c>
      <c r="C20" s="20">
        <v>455</v>
      </c>
      <c r="D20" s="149">
        <v>2.42</v>
      </c>
      <c r="E20" s="22">
        <v>2.2200000000000002</v>
      </c>
      <c r="F20" s="150">
        <f t="shared" si="1"/>
        <v>2.3200000000000003</v>
      </c>
      <c r="G20" s="23">
        <f t="shared" si="3"/>
        <v>2.3200000000000003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1.1817129629629629E-2</v>
      </c>
      <c r="B21" s="140">
        <f t="shared" si="0"/>
        <v>34.618500000000004</v>
      </c>
      <c r="C21" s="20">
        <v>490</v>
      </c>
      <c r="D21" s="149">
        <v>2.69</v>
      </c>
      <c r="E21" s="22">
        <v>2.39</v>
      </c>
      <c r="F21" s="150">
        <f t="shared" si="1"/>
        <v>2.54</v>
      </c>
      <c r="G21" s="23">
        <f t="shared" si="3"/>
        <v>2.54</v>
      </c>
      <c r="H21" s="204" t="str">
        <f>"K30  = "&amp;ROUND(K13,1)&amp;"÷2.5"</f>
        <v>K30  = 472÷2.5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1.2719907407407407E-2</v>
      </c>
      <c r="B22" s="140">
        <f t="shared" si="0"/>
        <v>37.091250000000002</v>
      </c>
      <c r="C22" s="20">
        <v>525</v>
      </c>
      <c r="D22" s="149">
        <v>3.28</v>
      </c>
      <c r="E22" s="22">
        <v>2.78</v>
      </c>
      <c r="F22" s="150">
        <f t="shared" si="1"/>
        <v>3.03</v>
      </c>
      <c r="G22" s="23">
        <f t="shared" si="3"/>
        <v>3.03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1.3564814814814814E-2</v>
      </c>
      <c r="B23" s="140">
        <f t="shared" si="0"/>
        <v>39.564</v>
      </c>
      <c r="C23" s="20">
        <v>560</v>
      </c>
      <c r="D23" s="149">
        <v>3.85</v>
      </c>
      <c r="E23" s="22">
        <v>3.49</v>
      </c>
      <c r="F23" s="150">
        <f t="shared" si="1"/>
        <v>3.67</v>
      </c>
      <c r="G23" s="23">
        <f t="shared" si="3"/>
        <v>3.67</v>
      </c>
      <c r="H23" s="212">
        <f>K14</f>
        <v>188.8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188.8×1.3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245.44000000000003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188.8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4783-7471-432D-96FE-A17C722E22D9}">
  <dimension ref="A1:T66"/>
  <sheetViews>
    <sheetView view="pageBreakPreview" topLeftCell="A19" zoomScale="115" zoomScaleNormal="100" zoomScaleSheetLayoutView="115" workbookViewId="0">
      <selection activeCell="P47" sqref="P47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List!B6</f>
        <v>46160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List!A6</f>
        <v>3</v>
      </c>
      <c r="C3" s="253"/>
      <c r="D3" s="253"/>
      <c r="E3" s="253"/>
      <c r="F3" s="45" t="s">
        <v>34</v>
      </c>
      <c r="G3" s="281" t="str">
        <f>List!C6</f>
        <v>중로(집) 3-16 (No.36 ~ No.41) 노체 1단(3층)</v>
      </c>
      <c r="H3" s="281"/>
      <c r="I3" s="281"/>
      <c r="J3" s="282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8.3333333333333339E-4</v>
      </c>
      <c r="B8" s="140">
        <f>C8*0.07065</f>
        <v>2.47275</v>
      </c>
      <c r="C8" s="20">
        <v>35</v>
      </c>
      <c r="D8" s="149">
        <v>0.25</v>
      </c>
      <c r="E8" s="22">
        <v>0.02</v>
      </c>
      <c r="F8" s="150">
        <f>IFERROR((D8+E8)/2," ")</f>
        <v>0.13500000000000001</v>
      </c>
      <c r="G8" s="23">
        <f>F8-F7</f>
        <v>0.13500000000000001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0.12000000000000001</v>
      </c>
      <c r="T8" s="133">
        <f>F8+Q8</f>
        <v>0.23500000000000001</v>
      </c>
    </row>
    <row r="9" spans="1:20" ht="14.25" customHeight="1" thickTop="1">
      <c r="A9" s="144">
        <f ca="1">A8+TIME(,RAND()*1+(1-0),RAND()*10+10)</f>
        <v>1.736111111111111E-3</v>
      </c>
      <c r="B9" s="140">
        <f t="shared" ref="B9:B23" si="0">C9*0.07065</f>
        <v>4.9455</v>
      </c>
      <c r="C9" s="20">
        <v>70</v>
      </c>
      <c r="D9" s="149">
        <v>0.27</v>
      </c>
      <c r="E9" s="22">
        <v>0.13</v>
      </c>
      <c r="F9" s="150">
        <f t="shared" ref="F9:F23" si="1">IFERROR((D9+E9)/2," ")</f>
        <v>0.2</v>
      </c>
      <c r="G9" s="23">
        <f>F9-$F$7</f>
        <v>0.2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0.23</v>
      </c>
      <c r="T9" s="133">
        <f t="shared" si="2"/>
        <v>0.30000000000000004</v>
      </c>
    </row>
    <row r="10" spans="1:20" ht="14.25" customHeight="1">
      <c r="A10" s="144">
        <f ca="1">A9+TIME(,RAND()*1+(1-0),RAND()*10+5)</f>
        <v>2.5810185185185185E-3</v>
      </c>
      <c r="B10" s="140">
        <f t="shared" si="0"/>
        <v>7.4182500000000005</v>
      </c>
      <c r="C10" s="20">
        <v>105</v>
      </c>
      <c r="D10" s="149">
        <v>0.28999999999999998</v>
      </c>
      <c r="E10" s="22">
        <v>0.34</v>
      </c>
      <c r="F10" s="150">
        <f t="shared" si="1"/>
        <v>0.315</v>
      </c>
      <c r="G10" s="23">
        <f t="shared" ref="G10:G23" si="3">F10-$F$7</f>
        <v>0.315</v>
      </c>
      <c r="H10" s="217"/>
      <c r="I10" s="218"/>
      <c r="J10" s="219"/>
      <c r="K10" s="24" t="s">
        <v>15</v>
      </c>
      <c r="L10" s="25">
        <v>0</v>
      </c>
      <c r="M10" s="62">
        <f>K13</f>
        <v>488</v>
      </c>
      <c r="N10" s="2"/>
      <c r="P10" s="3">
        <v>0.1</v>
      </c>
      <c r="Q10" s="3">
        <v>0.1</v>
      </c>
      <c r="S10" s="133">
        <f t="shared" si="2"/>
        <v>0.44000000000000006</v>
      </c>
      <c r="T10" s="133">
        <f t="shared" si="2"/>
        <v>0.41500000000000004</v>
      </c>
    </row>
    <row r="11" spans="1:20" ht="14.25" customHeight="1" thickBot="1">
      <c r="A11" s="144">
        <f ca="1">A10+TIME(,RAND()*1+(1-0),RAND()*10+5)</f>
        <v>3.3912037037037036E-3</v>
      </c>
      <c r="B11" s="140">
        <f t="shared" si="0"/>
        <v>9.891</v>
      </c>
      <c r="C11" s="20">
        <v>140</v>
      </c>
      <c r="D11" s="149">
        <v>0.46</v>
      </c>
      <c r="E11" s="22">
        <v>0.5</v>
      </c>
      <c r="F11" s="150">
        <f t="shared" si="1"/>
        <v>0.48</v>
      </c>
      <c r="G11" s="23">
        <f t="shared" si="3"/>
        <v>0.48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0.6</v>
      </c>
      <c r="T11" s="133">
        <f t="shared" si="2"/>
        <v>0.57999999999999996</v>
      </c>
    </row>
    <row r="12" spans="1:20" ht="14.25" customHeight="1" thickTop="1">
      <c r="A12" s="144">
        <f ca="1">A11+TIME(,RAND()*1+(1-0),RAND()*10+10)</f>
        <v>4.3055555555555555E-3</v>
      </c>
      <c r="B12" s="140">
        <f t="shared" si="0"/>
        <v>12.363750000000001</v>
      </c>
      <c r="C12" s="20">
        <v>175</v>
      </c>
      <c r="D12" s="149">
        <v>0.54</v>
      </c>
      <c r="E12" s="22">
        <v>0.56000000000000005</v>
      </c>
      <c r="F12" s="150">
        <f t="shared" si="1"/>
        <v>0.55000000000000004</v>
      </c>
      <c r="G12" s="23">
        <f t="shared" si="3"/>
        <v>0.55000000000000004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0.66</v>
      </c>
      <c r="T12" s="133">
        <f t="shared" si="2"/>
        <v>0.65</v>
      </c>
    </row>
    <row r="13" spans="1:20" ht="14.25" customHeight="1">
      <c r="A13" s="144">
        <f ca="1">A12+TIME(,RAND()*1+(1-0),RAND()*10+10)</f>
        <v>5.1504629629629626E-3</v>
      </c>
      <c r="B13" s="140">
        <f t="shared" si="0"/>
        <v>14.836500000000001</v>
      </c>
      <c r="C13" s="20">
        <v>210</v>
      </c>
      <c r="D13" s="149">
        <v>0.68</v>
      </c>
      <c r="E13" s="22">
        <v>0.75</v>
      </c>
      <c r="F13" s="150">
        <f t="shared" si="1"/>
        <v>0.71500000000000008</v>
      </c>
      <c r="G13" s="23">
        <f t="shared" si="3"/>
        <v>0.71500000000000008</v>
      </c>
      <c r="H13" s="217" t="s">
        <v>16</v>
      </c>
      <c r="I13" s="218"/>
      <c r="J13" s="219" t="s">
        <v>23</v>
      </c>
      <c r="K13" s="30">
        <v>488</v>
      </c>
      <c r="L13" s="25">
        <f>M10</f>
        <v>488</v>
      </c>
      <c r="M13" s="26">
        <f>L13</f>
        <v>488</v>
      </c>
      <c r="N13" s="2"/>
      <c r="P13" s="3">
        <v>0.1</v>
      </c>
      <c r="Q13" s="3">
        <v>0.1</v>
      </c>
      <c r="S13" s="133">
        <f t="shared" si="2"/>
        <v>0.85</v>
      </c>
      <c r="T13" s="133">
        <f t="shared" si="2"/>
        <v>0.81500000000000006</v>
      </c>
    </row>
    <row r="14" spans="1:20" ht="14.25" customHeight="1" thickBot="1">
      <c r="A14" s="144">
        <f ca="1">A13+TIME(,RAND()*1+(1-0),RAND()*10+10)</f>
        <v>6.0532407407407401E-3</v>
      </c>
      <c r="B14" s="140">
        <f t="shared" si="0"/>
        <v>17.309250000000002</v>
      </c>
      <c r="C14" s="20">
        <v>245</v>
      </c>
      <c r="D14" s="149">
        <v>0.84</v>
      </c>
      <c r="E14" s="22">
        <v>1.07</v>
      </c>
      <c r="F14" s="150">
        <f t="shared" si="1"/>
        <v>0.95500000000000007</v>
      </c>
      <c r="G14" s="23">
        <f t="shared" si="3"/>
        <v>0.95500000000000007</v>
      </c>
      <c r="H14" s="217"/>
      <c r="I14" s="218"/>
      <c r="J14" s="219"/>
      <c r="K14" s="17">
        <f>K13/2.5</f>
        <v>195.2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1.1700000000000002</v>
      </c>
      <c r="T14" s="133">
        <f t="shared" si="2"/>
        <v>1.0550000000000002</v>
      </c>
    </row>
    <row r="15" spans="1:20" ht="14.25" customHeight="1" thickTop="1" thickBot="1">
      <c r="A15" s="144">
        <f ca="1">A14+TIME(,RAND()*1+(1-0),RAND()*10+10)</f>
        <v>6.8749999999999992E-3</v>
      </c>
      <c r="B15" s="140">
        <f t="shared" si="0"/>
        <v>19.782</v>
      </c>
      <c r="C15" s="20">
        <v>280</v>
      </c>
      <c r="D15" s="149">
        <v>1.1599999999999999</v>
      </c>
      <c r="E15" s="22">
        <v>1.35</v>
      </c>
      <c r="F15" s="150">
        <f t="shared" si="1"/>
        <v>1.2549999999999999</v>
      </c>
      <c r="G15" s="23">
        <f t="shared" si="3"/>
        <v>1.2549999999999999</v>
      </c>
      <c r="H15" s="217" t="s">
        <v>16</v>
      </c>
      <c r="I15" s="218"/>
      <c r="J15" s="220" t="s">
        <v>27</v>
      </c>
      <c r="K15" s="2">
        <f>ROUND(K14,1)*1.3</f>
        <v>253.76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1.4500000000000002</v>
      </c>
      <c r="T15" s="133">
        <f t="shared" si="2"/>
        <v>1.355</v>
      </c>
    </row>
    <row r="16" spans="1:20" ht="14.25" customHeight="1">
      <c r="A16" s="144">
        <f ca="1">A15+TIME(,RAND()*1+(1-0),RAND()*10+10)</f>
        <v>7.7430555555555551E-3</v>
      </c>
      <c r="B16" s="140">
        <f t="shared" si="0"/>
        <v>22.254750000000001</v>
      </c>
      <c r="C16" s="20">
        <v>315</v>
      </c>
      <c r="D16" s="149">
        <v>1.35</v>
      </c>
      <c r="E16" s="22">
        <v>1.55</v>
      </c>
      <c r="F16" s="150">
        <f t="shared" si="1"/>
        <v>1.4500000000000002</v>
      </c>
      <c r="G16" s="23">
        <f t="shared" si="3"/>
        <v>1.4500000000000002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8.611111111111111E-3</v>
      </c>
      <c r="B17" s="140">
        <f t="shared" si="0"/>
        <v>24.727500000000003</v>
      </c>
      <c r="C17" s="20">
        <v>350</v>
      </c>
      <c r="D17" s="149">
        <v>1.52</v>
      </c>
      <c r="E17" s="22">
        <v>1.8</v>
      </c>
      <c r="F17" s="150">
        <f t="shared" si="1"/>
        <v>1.6600000000000001</v>
      </c>
      <c r="G17" s="23">
        <f t="shared" si="3"/>
        <v>1.6600000000000001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9.4675925925925934E-3</v>
      </c>
      <c r="B18" s="140">
        <f t="shared" si="0"/>
        <v>27.20025</v>
      </c>
      <c r="C18" s="20">
        <v>385</v>
      </c>
      <c r="D18" s="149">
        <v>1.53</v>
      </c>
      <c r="E18" s="22">
        <v>2.12</v>
      </c>
      <c r="F18" s="150">
        <f t="shared" si="1"/>
        <v>1.8250000000000002</v>
      </c>
      <c r="G18" s="23">
        <f t="shared" si="3"/>
        <v>1.8250000000000002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1.0277777777777778E-2</v>
      </c>
      <c r="B19" s="140">
        <f t="shared" si="0"/>
        <v>29.673000000000002</v>
      </c>
      <c r="C19" s="20">
        <v>420</v>
      </c>
      <c r="D19" s="149">
        <v>1.82</v>
      </c>
      <c r="E19" s="22">
        <v>2.36</v>
      </c>
      <c r="F19" s="150">
        <f t="shared" si="1"/>
        <v>2.09</v>
      </c>
      <c r="G19" s="23">
        <f t="shared" si="3"/>
        <v>2.09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1.1157407407407408E-2</v>
      </c>
      <c r="B20" s="140">
        <f t="shared" si="0"/>
        <v>32.14575</v>
      </c>
      <c r="C20" s="20">
        <v>455</v>
      </c>
      <c r="D20" s="149">
        <v>1.84</v>
      </c>
      <c r="E20" s="22">
        <v>2.68</v>
      </c>
      <c r="F20" s="150">
        <f t="shared" si="1"/>
        <v>2.2600000000000002</v>
      </c>
      <c r="G20" s="23">
        <f t="shared" si="3"/>
        <v>2.2600000000000002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1.207175925925926E-2</v>
      </c>
      <c r="B21" s="140">
        <f t="shared" si="0"/>
        <v>34.618500000000004</v>
      </c>
      <c r="C21" s="20">
        <v>490</v>
      </c>
      <c r="D21" s="149">
        <v>1.88</v>
      </c>
      <c r="E21" s="22">
        <v>2.81</v>
      </c>
      <c r="F21" s="150">
        <f t="shared" si="1"/>
        <v>2.3449999999999998</v>
      </c>
      <c r="G21" s="23">
        <f t="shared" si="3"/>
        <v>2.3449999999999998</v>
      </c>
      <c r="H21" s="204" t="str">
        <f>"K30  = "&amp;ROUND(K13,1)&amp;"÷2.5"</f>
        <v>K30  = 488÷2.5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1.292824074074074E-2</v>
      </c>
      <c r="B22" s="140">
        <f t="shared" si="0"/>
        <v>37.091250000000002</v>
      </c>
      <c r="C22" s="20">
        <v>525</v>
      </c>
      <c r="D22" s="149">
        <v>2.0499999999999998</v>
      </c>
      <c r="E22" s="22">
        <v>3.25</v>
      </c>
      <c r="F22" s="150">
        <f t="shared" si="1"/>
        <v>2.65</v>
      </c>
      <c r="G22" s="23">
        <f t="shared" si="3"/>
        <v>2.65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1.3738425925925925E-2</v>
      </c>
      <c r="B23" s="140">
        <f t="shared" si="0"/>
        <v>39.564</v>
      </c>
      <c r="C23" s="20">
        <v>560</v>
      </c>
      <c r="D23" s="149">
        <v>2.67</v>
      </c>
      <c r="E23" s="22">
        <v>3.6</v>
      </c>
      <c r="F23" s="150">
        <f t="shared" si="1"/>
        <v>3.1349999999999998</v>
      </c>
      <c r="G23" s="23">
        <f t="shared" si="3"/>
        <v>3.1349999999999998</v>
      </c>
      <c r="H23" s="212">
        <f>K14</f>
        <v>195.2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195.2×1.3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253.76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195.2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DB2E-DE13-4CE3-B663-B5581DFAF4FE}">
  <dimension ref="A1:T66"/>
  <sheetViews>
    <sheetView view="pageBreakPreview" topLeftCell="A7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List!B5</f>
        <v>46160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List!A5</f>
        <v>2</v>
      </c>
      <c r="C3" s="253"/>
      <c r="D3" s="253"/>
      <c r="E3" s="253"/>
      <c r="F3" s="45" t="s">
        <v>34</v>
      </c>
      <c r="G3" s="283" t="str">
        <f>List!C5</f>
        <v>중로(집) 3-14 (No.6 ~ No.9),소로(국)3-17 노체 2단(6층)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C8*0.07065</f>
        <v>2.47275</v>
      </c>
      <c r="C8" s="20">
        <v>35</v>
      </c>
      <c r="D8" s="149">
        <v>0.31</v>
      </c>
      <c r="E8" s="22">
        <v>0.05</v>
      </c>
      <c r="F8" s="150">
        <f>IFERROR((D8+E8)/2," ")</f>
        <v>0.18</v>
      </c>
      <c r="G8" s="23">
        <f>F8-F7</f>
        <v>0.18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0.15000000000000002</v>
      </c>
      <c r="T8" s="133">
        <f>F8+Q8</f>
        <v>0.28000000000000003</v>
      </c>
    </row>
    <row r="9" spans="1:20" ht="14.25" customHeight="1" thickTop="1">
      <c r="A9" s="144">
        <f ca="1">A8+TIME(,RAND()*1+(1-0),RAND()*10+10)</f>
        <v>1.6666666666666666E-3</v>
      </c>
      <c r="B9" s="140">
        <f t="shared" ref="B9:B23" si="0">C9*0.07065</f>
        <v>4.9455</v>
      </c>
      <c r="C9" s="20">
        <v>70</v>
      </c>
      <c r="D9" s="149">
        <v>0.53</v>
      </c>
      <c r="E9" s="22">
        <v>7.0000000000000007E-2</v>
      </c>
      <c r="F9" s="150">
        <f t="shared" ref="F9:F23" si="1">IFERROR((D9+E9)/2," ")</f>
        <v>0.30000000000000004</v>
      </c>
      <c r="G9" s="23">
        <f>F9-$F$7</f>
        <v>0.30000000000000004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0.17</v>
      </c>
      <c r="T9" s="133">
        <f t="shared" si="2"/>
        <v>0.4</v>
      </c>
    </row>
    <row r="10" spans="1:20" ht="14.25" customHeight="1">
      <c r="A10" s="144">
        <f ca="1">A9+TIME(,RAND()*1+(1-0),RAND()*10+5)</f>
        <v>2.4421296296296296E-3</v>
      </c>
      <c r="B10" s="140">
        <f t="shared" si="0"/>
        <v>7.4182500000000005</v>
      </c>
      <c r="C10" s="20">
        <v>105</v>
      </c>
      <c r="D10" s="149">
        <v>0.68</v>
      </c>
      <c r="E10" s="22">
        <v>0.12</v>
      </c>
      <c r="F10" s="150">
        <f t="shared" si="1"/>
        <v>0.4</v>
      </c>
      <c r="G10" s="23">
        <f t="shared" ref="G10:G23" si="3">F10-$F$7</f>
        <v>0.4</v>
      </c>
      <c r="H10" s="217"/>
      <c r="I10" s="218"/>
      <c r="J10" s="219"/>
      <c r="K10" s="24" t="s">
        <v>15</v>
      </c>
      <c r="L10" s="25">
        <v>0</v>
      </c>
      <c r="M10" s="62">
        <f>K13</f>
        <v>499</v>
      </c>
      <c r="N10" s="2"/>
      <c r="P10" s="3">
        <v>0.1</v>
      </c>
      <c r="Q10" s="3">
        <v>0.1</v>
      </c>
      <c r="S10" s="133">
        <f t="shared" si="2"/>
        <v>0.22</v>
      </c>
      <c r="T10" s="133">
        <f t="shared" si="2"/>
        <v>0.5</v>
      </c>
    </row>
    <row r="11" spans="1:20" ht="14.25" customHeight="1" thickBot="1">
      <c r="A11" s="144">
        <f ca="1">A10+TIME(,RAND()*1+(1-0),RAND()*10+5)</f>
        <v>3.2175925925925926E-3</v>
      </c>
      <c r="B11" s="140">
        <f t="shared" si="0"/>
        <v>9.891</v>
      </c>
      <c r="C11" s="20">
        <v>140</v>
      </c>
      <c r="D11" s="149">
        <v>0.69</v>
      </c>
      <c r="E11" s="22">
        <v>0.38</v>
      </c>
      <c r="F11" s="150">
        <f t="shared" si="1"/>
        <v>0.53499999999999992</v>
      </c>
      <c r="G11" s="23">
        <f t="shared" si="3"/>
        <v>0.53499999999999992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0.48</v>
      </c>
      <c r="T11" s="133">
        <f t="shared" si="2"/>
        <v>0.6349999999999999</v>
      </c>
    </row>
    <row r="12" spans="1:20" ht="14.25" customHeight="1" thickTop="1">
      <c r="A12" s="144">
        <f ca="1">A11+TIME(,RAND()*1+(1-0),RAND()*10+10)</f>
        <v>4.1087962962962962E-3</v>
      </c>
      <c r="B12" s="140">
        <f t="shared" si="0"/>
        <v>12.363750000000001</v>
      </c>
      <c r="C12" s="20">
        <v>175</v>
      </c>
      <c r="D12" s="149">
        <v>0.73</v>
      </c>
      <c r="E12" s="22">
        <v>0.45</v>
      </c>
      <c r="F12" s="150">
        <f t="shared" si="1"/>
        <v>0.59</v>
      </c>
      <c r="G12" s="23">
        <f t="shared" si="3"/>
        <v>0.59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0.55000000000000004</v>
      </c>
      <c r="T12" s="133">
        <f t="shared" si="2"/>
        <v>0.69</v>
      </c>
    </row>
    <row r="13" spans="1:20" ht="14.25" customHeight="1">
      <c r="A13" s="144">
        <f ca="1">A12+TIME(,RAND()*1+(1-0),RAND()*10+10)</f>
        <v>4.9421296296296297E-3</v>
      </c>
      <c r="B13" s="140">
        <f t="shared" si="0"/>
        <v>14.836500000000001</v>
      </c>
      <c r="C13" s="20">
        <v>210</v>
      </c>
      <c r="D13" s="149">
        <v>1.01</v>
      </c>
      <c r="E13" s="22">
        <v>0.51</v>
      </c>
      <c r="F13" s="150">
        <f t="shared" si="1"/>
        <v>0.76</v>
      </c>
      <c r="G13" s="23">
        <f t="shared" si="3"/>
        <v>0.76</v>
      </c>
      <c r="H13" s="217" t="s">
        <v>16</v>
      </c>
      <c r="I13" s="218"/>
      <c r="J13" s="219" t="s">
        <v>23</v>
      </c>
      <c r="K13" s="30">
        <v>499</v>
      </c>
      <c r="L13" s="25">
        <f>M10</f>
        <v>499</v>
      </c>
      <c r="M13" s="26">
        <f>L13</f>
        <v>499</v>
      </c>
      <c r="N13" s="2"/>
      <c r="P13" s="3">
        <v>0.1</v>
      </c>
      <c r="Q13" s="3">
        <v>0.1</v>
      </c>
      <c r="S13" s="133">
        <f t="shared" si="2"/>
        <v>0.61</v>
      </c>
      <c r="T13" s="133">
        <f t="shared" si="2"/>
        <v>0.86</v>
      </c>
    </row>
    <row r="14" spans="1:20" ht="14.25" customHeight="1" thickBot="1">
      <c r="A14" s="144">
        <f ca="1">A13+TIME(,RAND()*1+(1-0),RAND()*10+10)</f>
        <v>5.8333333333333336E-3</v>
      </c>
      <c r="B14" s="140">
        <f t="shared" si="0"/>
        <v>17.309250000000002</v>
      </c>
      <c r="C14" s="20">
        <v>245</v>
      </c>
      <c r="D14" s="149">
        <v>1.27</v>
      </c>
      <c r="E14" s="22">
        <v>0.76</v>
      </c>
      <c r="F14" s="150">
        <f t="shared" si="1"/>
        <v>1.0150000000000001</v>
      </c>
      <c r="G14" s="23">
        <f t="shared" si="3"/>
        <v>1.0150000000000001</v>
      </c>
      <c r="H14" s="217"/>
      <c r="I14" s="218"/>
      <c r="J14" s="219"/>
      <c r="K14" s="17">
        <f>K13/2.5</f>
        <v>199.6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0.86</v>
      </c>
      <c r="T14" s="133">
        <f t="shared" si="2"/>
        <v>1.1150000000000002</v>
      </c>
    </row>
    <row r="15" spans="1:20" ht="14.25" customHeight="1" thickTop="1" thickBot="1">
      <c r="A15" s="144">
        <f ca="1">A14+TIME(,RAND()*1+(1-0),RAND()*10+10)</f>
        <v>6.6550925925925927E-3</v>
      </c>
      <c r="B15" s="140">
        <f t="shared" si="0"/>
        <v>19.782</v>
      </c>
      <c r="C15" s="20">
        <v>280</v>
      </c>
      <c r="D15" s="149">
        <v>1.46</v>
      </c>
      <c r="E15" s="22">
        <v>0.97</v>
      </c>
      <c r="F15" s="150">
        <f t="shared" si="1"/>
        <v>1.2149999999999999</v>
      </c>
      <c r="G15" s="23">
        <f t="shared" si="3"/>
        <v>1.2149999999999999</v>
      </c>
      <c r="H15" s="217" t="s">
        <v>16</v>
      </c>
      <c r="I15" s="218"/>
      <c r="J15" s="220" t="s">
        <v>27</v>
      </c>
      <c r="K15" s="2">
        <f>ROUND(K14,1)*1.3</f>
        <v>259.48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1.07</v>
      </c>
      <c r="T15" s="133">
        <f t="shared" si="2"/>
        <v>1.3149999999999999</v>
      </c>
    </row>
    <row r="16" spans="1:20" ht="14.25" customHeight="1">
      <c r="A16" s="144">
        <f ca="1">A15+TIME(,RAND()*1+(1-0),RAND()*10+10)</f>
        <v>7.5462962962962966E-3</v>
      </c>
      <c r="B16" s="140">
        <f t="shared" si="0"/>
        <v>22.254750000000001</v>
      </c>
      <c r="C16" s="20">
        <v>315</v>
      </c>
      <c r="D16" s="149">
        <v>1.48</v>
      </c>
      <c r="E16" s="22">
        <v>1.1200000000000001</v>
      </c>
      <c r="F16" s="150">
        <f t="shared" si="1"/>
        <v>1.3</v>
      </c>
      <c r="G16" s="23">
        <f t="shared" si="3"/>
        <v>1.3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8.3564814814814821E-3</v>
      </c>
      <c r="B17" s="140">
        <f t="shared" si="0"/>
        <v>24.727500000000003</v>
      </c>
      <c r="C17" s="20">
        <v>350</v>
      </c>
      <c r="D17" s="149">
        <v>1.52</v>
      </c>
      <c r="E17" s="22">
        <v>1.21</v>
      </c>
      <c r="F17" s="150">
        <f t="shared" si="1"/>
        <v>1.365</v>
      </c>
      <c r="G17" s="23">
        <f t="shared" si="3"/>
        <v>1.365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9.2013888888888892E-3</v>
      </c>
      <c r="B18" s="140">
        <f t="shared" si="0"/>
        <v>27.20025</v>
      </c>
      <c r="C18" s="20">
        <v>385</v>
      </c>
      <c r="D18" s="149">
        <v>1.82</v>
      </c>
      <c r="E18" s="22">
        <v>1.49</v>
      </c>
      <c r="F18" s="150">
        <f t="shared" si="1"/>
        <v>1.655</v>
      </c>
      <c r="G18" s="23">
        <f t="shared" si="3"/>
        <v>1.655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1.0081018518518519E-2</v>
      </c>
      <c r="B19" s="140">
        <f t="shared" si="0"/>
        <v>29.673000000000002</v>
      </c>
      <c r="C19" s="20">
        <v>420</v>
      </c>
      <c r="D19" s="149">
        <v>2.0499999999999998</v>
      </c>
      <c r="E19" s="22">
        <v>1.76</v>
      </c>
      <c r="F19" s="150">
        <f t="shared" si="1"/>
        <v>1.9049999999999998</v>
      </c>
      <c r="G19" s="23">
        <f t="shared" si="3"/>
        <v>1.9049999999999998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1.0972222222222222E-2</v>
      </c>
      <c r="B20" s="140">
        <f t="shared" si="0"/>
        <v>32.14575</v>
      </c>
      <c r="C20" s="20">
        <v>455</v>
      </c>
      <c r="D20" s="149">
        <v>2.2200000000000002</v>
      </c>
      <c r="E20" s="22">
        <v>1.83</v>
      </c>
      <c r="F20" s="150">
        <f t="shared" si="1"/>
        <v>2.0250000000000004</v>
      </c>
      <c r="G20" s="23">
        <f t="shared" si="3"/>
        <v>2.0250000000000004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1.1817129629629629E-2</v>
      </c>
      <c r="B21" s="140">
        <f t="shared" si="0"/>
        <v>34.618500000000004</v>
      </c>
      <c r="C21" s="20">
        <v>490</v>
      </c>
      <c r="D21" s="149">
        <v>2.4</v>
      </c>
      <c r="E21" s="22">
        <v>1.88</v>
      </c>
      <c r="F21" s="150">
        <f t="shared" si="1"/>
        <v>2.1399999999999997</v>
      </c>
      <c r="G21" s="23">
        <f t="shared" si="3"/>
        <v>2.1399999999999997</v>
      </c>
      <c r="H21" s="204" t="str">
        <f>"K30  = "&amp;ROUND(K13,1)&amp;"÷2.5"</f>
        <v>K30  = 499÷2.5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1.2696759259259258E-2</v>
      </c>
      <c r="B22" s="140">
        <f t="shared" si="0"/>
        <v>37.091250000000002</v>
      </c>
      <c r="C22" s="20">
        <v>525</v>
      </c>
      <c r="D22" s="149">
        <v>3.1909999999999998</v>
      </c>
      <c r="E22" s="22">
        <v>2.5709999999999997</v>
      </c>
      <c r="F22" s="150">
        <f t="shared" si="1"/>
        <v>2.8809999999999998</v>
      </c>
      <c r="G22" s="23">
        <f t="shared" si="3"/>
        <v>2.8809999999999998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1.3506944444444443E-2</v>
      </c>
      <c r="B23" s="140">
        <f t="shared" si="0"/>
        <v>39.564</v>
      </c>
      <c r="C23" s="20">
        <v>560</v>
      </c>
      <c r="D23" s="149">
        <v>3.7370000000000001</v>
      </c>
      <c r="E23" s="22">
        <v>2.8439999999999999</v>
      </c>
      <c r="F23" s="150">
        <f t="shared" si="1"/>
        <v>3.2904999999999998</v>
      </c>
      <c r="G23" s="23">
        <f t="shared" si="3"/>
        <v>3.2904999999999998</v>
      </c>
      <c r="H23" s="212">
        <f>K14</f>
        <v>199.6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199.6×1.3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259.48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199.6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66"/>
  <sheetViews>
    <sheetView view="pageBreakPreview" topLeftCell="A10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</f>
        <v>46160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53">
        <f>List!A4</f>
        <v>1</v>
      </c>
      <c r="C3" s="253"/>
      <c r="D3" s="253"/>
      <c r="E3" s="253"/>
      <c r="F3" s="45" t="s">
        <v>34</v>
      </c>
      <c r="G3" s="283" t="str">
        <f>List!C4</f>
        <v>중로(집) 3-14 (No.6 ~ No.9),소로(국)3-17 노체 1단(3층)</v>
      </c>
      <c r="H3" s="283"/>
      <c r="I3" s="283"/>
      <c r="J3" s="284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7.8703703703703705E-4</v>
      </c>
      <c r="B8" s="140">
        <f>C8*0.07065</f>
        <v>2.47275</v>
      </c>
      <c r="C8" s="20">
        <v>35</v>
      </c>
      <c r="D8" s="149">
        <v>0.17</v>
      </c>
      <c r="E8" s="22">
        <v>0.24</v>
      </c>
      <c r="F8" s="150">
        <f>IFERROR((D8+E8)/2," ")</f>
        <v>0.20500000000000002</v>
      </c>
      <c r="G8" s="23">
        <f>F8-F7</f>
        <v>0.20500000000000002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0.33999999999999997</v>
      </c>
      <c r="T8" s="133">
        <f>F8+Q8</f>
        <v>0.30500000000000005</v>
      </c>
    </row>
    <row r="9" spans="1:20" ht="14.25" customHeight="1" thickTop="1">
      <c r="A9" s="144">
        <f ca="1">A8+TIME(,RAND()*1+(1-0),RAND()*10+10)</f>
        <v>1.6203703703703705E-3</v>
      </c>
      <c r="B9" s="140">
        <f t="shared" ref="B9:B15" si="0">C9*0.07065</f>
        <v>4.9455</v>
      </c>
      <c r="C9" s="20">
        <v>70</v>
      </c>
      <c r="D9" s="149">
        <v>0.47</v>
      </c>
      <c r="E9" s="22">
        <v>0.27</v>
      </c>
      <c r="F9" s="150">
        <f t="shared" ref="F9:F14" si="1">IFERROR((D9+E9)/2," ")</f>
        <v>0.37</v>
      </c>
      <c r="G9" s="23">
        <f>F9-$F$7</f>
        <v>0.37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S15" si="2">E9+P9</f>
        <v>0.37</v>
      </c>
      <c r="T9" s="133">
        <f t="shared" ref="T9:T15" si="3">F9+Q9</f>
        <v>0.47</v>
      </c>
    </row>
    <row r="10" spans="1:20" ht="14.25" customHeight="1">
      <c r="A10" s="144">
        <f ca="1">A9+TIME(,RAND()*1+(1-0),RAND()*10+5)</f>
        <v>2.3726851851851851E-3</v>
      </c>
      <c r="B10" s="140">
        <f t="shared" si="0"/>
        <v>7.4182500000000005</v>
      </c>
      <c r="C10" s="20">
        <v>105</v>
      </c>
      <c r="D10" s="149">
        <v>0.59</v>
      </c>
      <c r="E10" s="22">
        <v>0.55000000000000004</v>
      </c>
      <c r="F10" s="150">
        <f t="shared" si="1"/>
        <v>0.57000000000000006</v>
      </c>
      <c r="G10" s="23">
        <f t="shared" ref="G10:G14" si="4">F10-$F$7</f>
        <v>0.57000000000000006</v>
      </c>
      <c r="H10" s="217"/>
      <c r="I10" s="218"/>
      <c r="J10" s="219"/>
      <c r="K10" s="24" t="s">
        <v>15</v>
      </c>
      <c r="L10" s="25">
        <v>0</v>
      </c>
      <c r="M10" s="62">
        <f>K13</f>
        <v>493</v>
      </c>
      <c r="N10" s="2"/>
      <c r="P10" s="3">
        <v>0.1</v>
      </c>
      <c r="Q10" s="3">
        <v>0.1</v>
      </c>
      <c r="S10" s="133">
        <f t="shared" si="2"/>
        <v>0.65</v>
      </c>
      <c r="T10" s="133">
        <f t="shared" si="3"/>
        <v>0.67</v>
      </c>
    </row>
    <row r="11" spans="1:20" ht="14.25" customHeight="1" thickBot="1">
      <c r="A11" s="144">
        <f ca="1">A10+TIME(,RAND()*1+(1-0),RAND()*10+5)</f>
        <v>3.1944444444444442E-3</v>
      </c>
      <c r="B11" s="140">
        <f t="shared" si="0"/>
        <v>9.891</v>
      </c>
      <c r="C11" s="20">
        <v>140</v>
      </c>
      <c r="D11" s="149">
        <v>0.66</v>
      </c>
      <c r="E11" s="22">
        <v>0.66</v>
      </c>
      <c r="F11" s="150">
        <f t="shared" si="1"/>
        <v>0.66</v>
      </c>
      <c r="G11" s="23">
        <f t="shared" si="4"/>
        <v>0.66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0.76</v>
      </c>
      <c r="T11" s="133">
        <f t="shared" si="3"/>
        <v>0.76</v>
      </c>
    </row>
    <row r="12" spans="1:20" ht="14.25" customHeight="1" thickTop="1">
      <c r="A12" s="144">
        <f ca="1">A11+TIME(,RAND()*1+(1-0),RAND()*10+10)</f>
        <v>4.0625000000000001E-3</v>
      </c>
      <c r="B12" s="140">
        <f t="shared" si="0"/>
        <v>12.363750000000001</v>
      </c>
      <c r="C12" s="20">
        <v>175</v>
      </c>
      <c r="D12" s="149">
        <v>0.67</v>
      </c>
      <c r="E12" s="22">
        <v>0.71</v>
      </c>
      <c r="F12" s="150">
        <f t="shared" si="1"/>
        <v>0.69</v>
      </c>
      <c r="G12" s="23">
        <f t="shared" si="4"/>
        <v>0.69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0.80999999999999994</v>
      </c>
      <c r="T12" s="133">
        <f t="shared" si="3"/>
        <v>0.78999999999999992</v>
      </c>
    </row>
    <row r="13" spans="1:20" ht="14.25" customHeight="1">
      <c r="A13" s="144">
        <f ca="1">A12+TIME(,RAND()*1+(1-0),RAND()*10+10)</f>
        <v>4.8842592592592592E-3</v>
      </c>
      <c r="B13" s="140">
        <f t="shared" si="0"/>
        <v>14.836500000000001</v>
      </c>
      <c r="C13" s="20">
        <v>210</v>
      </c>
      <c r="D13" s="149">
        <v>0.87</v>
      </c>
      <c r="E13" s="22">
        <v>1.01</v>
      </c>
      <c r="F13" s="150">
        <f t="shared" si="1"/>
        <v>0.94</v>
      </c>
      <c r="G13" s="23">
        <f t="shared" si="4"/>
        <v>0.94</v>
      </c>
      <c r="H13" s="217" t="s">
        <v>16</v>
      </c>
      <c r="I13" s="218"/>
      <c r="J13" s="219" t="s">
        <v>23</v>
      </c>
      <c r="K13" s="30">
        <v>493</v>
      </c>
      <c r="L13" s="25">
        <f>M10</f>
        <v>493</v>
      </c>
      <c r="M13" s="26">
        <f>L13</f>
        <v>493</v>
      </c>
      <c r="N13" s="2"/>
      <c r="P13" s="3">
        <v>0.1</v>
      </c>
      <c r="Q13" s="3">
        <v>0.1</v>
      </c>
      <c r="S13" s="133">
        <f t="shared" si="2"/>
        <v>1.1100000000000001</v>
      </c>
      <c r="T13" s="133">
        <f t="shared" si="3"/>
        <v>1.04</v>
      </c>
    </row>
    <row r="14" spans="1:20" ht="14.25" customHeight="1" thickBot="1">
      <c r="A14" s="144">
        <f ca="1">A13+TIME(,RAND()*1+(1-0),RAND()*10+10)</f>
        <v>5.7754629629629631E-3</v>
      </c>
      <c r="B14" s="140">
        <f t="shared" si="0"/>
        <v>17.309250000000002</v>
      </c>
      <c r="C14" s="20">
        <v>245</v>
      </c>
      <c r="D14" s="149">
        <v>1.1000000000000001</v>
      </c>
      <c r="E14" s="22">
        <v>1.24</v>
      </c>
      <c r="F14" s="150">
        <f t="shared" si="1"/>
        <v>1.17</v>
      </c>
      <c r="G14" s="23">
        <f t="shared" si="4"/>
        <v>1.17</v>
      </c>
      <c r="H14" s="217"/>
      <c r="I14" s="218"/>
      <c r="J14" s="219"/>
      <c r="K14" s="17">
        <f>K13/2.5</f>
        <v>197.2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1.34</v>
      </c>
      <c r="T14" s="133">
        <f t="shared" si="3"/>
        <v>1.27</v>
      </c>
    </row>
    <row r="15" spans="1:20" ht="14.25" customHeight="1" thickTop="1" thickBot="1">
      <c r="A15" s="144">
        <f ca="1">A14+TIME(,RAND()*1+(1-0),RAND()*10+10)</f>
        <v>6.6319444444444446E-3</v>
      </c>
      <c r="B15" s="140">
        <f t="shared" si="0"/>
        <v>19.782</v>
      </c>
      <c r="C15" s="20">
        <v>280</v>
      </c>
      <c r="D15" s="149">
        <v>1.1599999999999999</v>
      </c>
      <c r="E15" s="22">
        <v>1.36</v>
      </c>
      <c r="F15" s="150">
        <f t="shared" ref="F15" si="5">IFERROR((D15+E15)/2," ")</f>
        <v>1.26</v>
      </c>
      <c r="G15" s="23">
        <f t="shared" ref="G15" si="6">F15-$F$7</f>
        <v>1.26</v>
      </c>
      <c r="H15" s="217" t="s">
        <v>16</v>
      </c>
      <c r="I15" s="218"/>
      <c r="J15" s="220" t="s">
        <v>27</v>
      </c>
      <c r="K15" s="2">
        <f>ROUND(K14,1)*1.3</f>
        <v>256.36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1.4600000000000002</v>
      </c>
      <c r="T15" s="133">
        <f t="shared" si="3"/>
        <v>1.36</v>
      </c>
    </row>
    <row r="16" spans="1:20" ht="14.25" customHeight="1">
      <c r="A16" s="144">
        <f ca="1">A15+TIME(,RAND()*1+(1-0),RAND()*10+10)</f>
        <v>7.4421296296296301E-3</v>
      </c>
      <c r="B16" s="140">
        <f t="shared" ref="B16" si="7">C16*0.07065</f>
        <v>22.254750000000001</v>
      </c>
      <c r="C16" s="20">
        <v>315</v>
      </c>
      <c r="D16" s="149">
        <v>1.24</v>
      </c>
      <c r="E16" s="22">
        <v>1.64</v>
      </c>
      <c r="F16" s="150">
        <f t="shared" ref="F16" si="8">IFERROR((D16+E16)/2," ")</f>
        <v>1.44</v>
      </c>
      <c r="G16" s="23">
        <f t="shared" ref="G16" si="9">F16-$F$7</f>
        <v>1.44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2" ca="1" si="10">A16+TIME(,RAND()*1+(1-0),RAND()*10+10)</f>
        <v>8.2870370370370372E-3</v>
      </c>
      <c r="B17" s="140">
        <f t="shared" ref="B17:B22" si="11">C17*0.07065</f>
        <v>24.727500000000003</v>
      </c>
      <c r="C17" s="20">
        <v>350</v>
      </c>
      <c r="D17" s="149">
        <v>1.27</v>
      </c>
      <c r="E17" s="22">
        <v>1.75</v>
      </c>
      <c r="F17" s="150">
        <f t="shared" ref="F17:F22" si="12">IFERROR((D17+E17)/2," ")</f>
        <v>1.51</v>
      </c>
      <c r="G17" s="23">
        <f t="shared" ref="G17:G22" si="13">F17-$F$7</f>
        <v>1.51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10"/>
        <v>9.1898148148148156E-3</v>
      </c>
      <c r="B18" s="140">
        <f t="shared" si="11"/>
        <v>27.20025</v>
      </c>
      <c r="C18" s="20">
        <v>385</v>
      </c>
      <c r="D18" s="149">
        <v>1.55</v>
      </c>
      <c r="E18" s="22">
        <v>2.0499999999999998</v>
      </c>
      <c r="F18" s="150">
        <f t="shared" si="12"/>
        <v>1.7999999999999998</v>
      </c>
      <c r="G18" s="23">
        <f t="shared" si="13"/>
        <v>1.7999999999999998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10"/>
        <v>0.01</v>
      </c>
      <c r="B19" s="140">
        <f t="shared" si="11"/>
        <v>29.673000000000002</v>
      </c>
      <c r="C19" s="20">
        <v>420</v>
      </c>
      <c r="D19" s="149">
        <v>1.72</v>
      </c>
      <c r="E19" s="22">
        <v>2.29</v>
      </c>
      <c r="F19" s="150">
        <f t="shared" si="12"/>
        <v>2.0049999999999999</v>
      </c>
      <c r="G19" s="23">
        <f t="shared" si="13"/>
        <v>2.0049999999999999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10"/>
        <v>1.0902777777777779E-2</v>
      </c>
      <c r="B20" s="140">
        <f t="shared" si="11"/>
        <v>32.14575</v>
      </c>
      <c r="C20" s="20">
        <v>455</v>
      </c>
      <c r="D20" s="149">
        <v>1.75</v>
      </c>
      <c r="E20" s="22">
        <v>2.37</v>
      </c>
      <c r="F20" s="150">
        <f t="shared" si="12"/>
        <v>2.06</v>
      </c>
      <c r="G20" s="23">
        <f t="shared" si="13"/>
        <v>2.06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10"/>
        <v>1.1793981481481482E-2</v>
      </c>
      <c r="B21" s="140">
        <f t="shared" si="11"/>
        <v>34.618500000000004</v>
      </c>
      <c r="C21" s="20">
        <v>490</v>
      </c>
      <c r="D21" s="149">
        <v>2.04</v>
      </c>
      <c r="E21" s="22">
        <v>2.4</v>
      </c>
      <c r="F21" s="150">
        <f t="shared" si="12"/>
        <v>2.2199999999999998</v>
      </c>
      <c r="G21" s="23">
        <f t="shared" si="13"/>
        <v>2.2199999999999998</v>
      </c>
      <c r="H21" s="204" t="str">
        <f>"K30  = "&amp;ROUND(K13,1)&amp;"÷2.5"</f>
        <v>K30  = 493÷2.5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10"/>
        <v>1.2604166666666666E-2</v>
      </c>
      <c r="B22" s="140">
        <f t="shared" si="11"/>
        <v>37.091250000000002</v>
      </c>
      <c r="C22" s="20">
        <v>525</v>
      </c>
      <c r="D22" s="149">
        <v>2.7949999999999999</v>
      </c>
      <c r="E22" s="22">
        <v>3.0459999999999998</v>
      </c>
      <c r="F22" s="150">
        <f t="shared" si="12"/>
        <v>2.9204999999999997</v>
      </c>
      <c r="G22" s="23">
        <f t="shared" si="13"/>
        <v>2.9204999999999997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ref="A23" ca="1" si="14">A22+TIME(,RAND()*1+(1-0),RAND()*10+10)</f>
        <v>1.3472222222222222E-2</v>
      </c>
      <c r="B23" s="140">
        <f t="shared" ref="B23" si="15">C23*0.07065</f>
        <v>39.564</v>
      </c>
      <c r="C23" s="20">
        <v>560</v>
      </c>
      <c r="D23" s="149">
        <v>3.105</v>
      </c>
      <c r="E23" s="22">
        <v>3.1459999999999999</v>
      </c>
      <c r="F23" s="150">
        <f t="shared" ref="F23" si="16">IFERROR((D23+E23)/2," ")</f>
        <v>3.1254999999999997</v>
      </c>
      <c r="G23" s="23">
        <f t="shared" ref="G23" si="17">F23-$F$7</f>
        <v>3.1254999999999997</v>
      </c>
      <c r="H23" s="212">
        <f>K14</f>
        <v>197.2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197.2×1.3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256.36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197.2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86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9:I10"/>
    <mergeCell ref="H13:I14"/>
    <mergeCell ref="H11:I12"/>
    <mergeCell ref="A64:B66"/>
    <mergeCell ref="C64:D64"/>
    <mergeCell ref="E64:J64"/>
    <mergeCell ref="C65:D65"/>
    <mergeCell ref="E65:J65"/>
    <mergeCell ref="C66:D66"/>
    <mergeCell ref="E66:J66"/>
    <mergeCell ref="A54:B56"/>
    <mergeCell ref="C54:D54"/>
    <mergeCell ref="C55:D55"/>
    <mergeCell ref="C56:D56"/>
    <mergeCell ref="E54:J54"/>
    <mergeCell ref="E55:J55"/>
    <mergeCell ref="A57:J63"/>
    <mergeCell ref="A45:J45"/>
    <mergeCell ref="A43:J43"/>
    <mergeCell ref="M20:N20"/>
    <mergeCell ref="M21:N21"/>
    <mergeCell ref="H23:J24"/>
    <mergeCell ref="H19:J20"/>
    <mergeCell ref="E56:J56"/>
    <mergeCell ref="A47:J53"/>
    <mergeCell ref="H21:J22"/>
    <mergeCell ref="H26:J27"/>
    <mergeCell ref="H28:J29"/>
    <mergeCell ref="H32:J33"/>
    <mergeCell ref="H36:J37"/>
    <mergeCell ref="H34:J35"/>
    <mergeCell ref="A38:J42"/>
    <mergeCell ref="H15:I16"/>
    <mergeCell ref="J15:J16"/>
    <mergeCell ref="L16:L17"/>
    <mergeCell ref="H17:I18"/>
    <mergeCell ref="J17:J18"/>
    <mergeCell ref="L9:M9"/>
    <mergeCell ref="J11:J12"/>
    <mergeCell ref="L12:M12"/>
    <mergeCell ref="J13:J14"/>
    <mergeCell ref="J9:J10"/>
    <mergeCell ref="H5:J6"/>
    <mergeCell ref="H7:I8"/>
    <mergeCell ref="J7:J8"/>
    <mergeCell ref="A5:A6"/>
    <mergeCell ref="B5:C5"/>
    <mergeCell ref="D5:F5"/>
    <mergeCell ref="G5:G6"/>
    <mergeCell ref="A1:J1"/>
    <mergeCell ref="L1:M2"/>
    <mergeCell ref="B2:E2"/>
    <mergeCell ref="G2:J2"/>
    <mergeCell ref="B3:E3"/>
    <mergeCell ref="L3:M4"/>
    <mergeCell ref="H4:J4"/>
    <mergeCell ref="G3:J3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F13C-9358-420A-AE80-732F3121B57C}">
  <sheetPr codeName="Sheet19">
    <tabColor rgb="FFFFFF00"/>
  </sheetPr>
  <dimension ref="A1:N66"/>
  <sheetViews>
    <sheetView view="pageBreakPreview" zoomScale="115" zoomScaleNormal="100" zoomScaleSheetLayoutView="115" workbookViewId="0">
      <selection activeCell="G3" sqref="G3:J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14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14" ht="25.15" customHeight="1" thickBot="1">
      <c r="A2" s="36" t="s">
        <v>1</v>
      </c>
      <c r="B2" s="250" t="s">
        <v>36</v>
      </c>
      <c r="C2" s="250"/>
      <c r="D2" s="250"/>
      <c r="E2" s="250"/>
      <c r="F2" s="38" t="s">
        <v>2</v>
      </c>
      <c r="G2" s="251">
        <f>List!B31</f>
        <v>46174</v>
      </c>
      <c r="H2" s="251"/>
      <c r="I2" s="251"/>
      <c r="J2" s="252"/>
      <c r="K2" s="2" t="s">
        <v>52</v>
      </c>
      <c r="L2" s="248"/>
      <c r="M2" s="249"/>
      <c r="N2" s="2"/>
    </row>
    <row r="3" spans="1:14" ht="25.15" customHeight="1">
      <c r="A3" s="37" t="s">
        <v>3</v>
      </c>
      <c r="B3" s="285">
        <f>List!A31</f>
        <v>28</v>
      </c>
      <c r="C3" s="285"/>
      <c r="D3" s="285"/>
      <c r="E3" s="285"/>
      <c r="F3" s="45" t="s">
        <v>34</v>
      </c>
      <c r="G3" s="286" t="str">
        <f>List!C31</f>
        <v>중로(집) 3-12 (No.17 ~ No.20) 노체 5단(15층)</v>
      </c>
      <c r="H3" s="286"/>
      <c r="I3" s="286"/>
      <c r="J3" s="287"/>
      <c r="K3" s="80" t="e">
        <f>#REF!+1</f>
        <v>#REF!</v>
      </c>
      <c r="L3" s="246" t="s">
        <v>51</v>
      </c>
      <c r="M3" s="247"/>
      <c r="N3" s="2"/>
    </row>
    <row r="4" spans="1:14" ht="17.25" customHeight="1" thickBot="1">
      <c r="A4" s="4" t="s">
        <v>4</v>
      </c>
      <c r="B4" s="136" t="s">
        <v>71</v>
      </c>
      <c r="C4" s="137">
        <v>400</v>
      </c>
      <c r="D4" s="5" t="s">
        <v>5</v>
      </c>
      <c r="E4" s="46">
        <f>40*40/4*3.14</f>
        <v>1256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14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14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14" ht="14.25" customHeight="1">
      <c r="A7" s="143">
        <v>0</v>
      </c>
      <c r="B7" s="139">
        <v>0</v>
      </c>
      <c r="C7" s="13">
        <v>0</v>
      </c>
      <c r="D7" s="147">
        <v>0.01</v>
      </c>
      <c r="E7" s="15">
        <v>0.09</v>
      </c>
      <c r="F7" s="148">
        <f>(D7+E7)/2</f>
        <v>4.9999999999999996E-2</v>
      </c>
      <c r="G7" s="16">
        <v>0</v>
      </c>
      <c r="H7" s="288" t="s">
        <v>10</v>
      </c>
      <c r="I7" s="289"/>
      <c r="J7" s="290" t="s">
        <v>11</v>
      </c>
      <c r="K7" s="17"/>
      <c r="L7" s="17"/>
      <c r="M7" s="17"/>
      <c r="N7" s="2"/>
    </row>
    <row r="8" spans="1:14" ht="14.25" customHeight="1" thickBot="1">
      <c r="A8" s="144">
        <f ca="1">TIME(,RAND()*1+(1-0),RAND()*10+4)</f>
        <v>7.407407407407407E-4</v>
      </c>
      <c r="B8" s="140">
        <f>C8*0.1256</f>
        <v>4.3959999999999999</v>
      </c>
      <c r="C8" s="20">
        <v>35</v>
      </c>
      <c r="D8" s="149">
        <v>0.3</v>
      </c>
      <c r="E8" s="22">
        <v>0.17</v>
      </c>
      <c r="F8" s="150">
        <f>IFERROR((D8+E8)/2," ")</f>
        <v>0.23499999999999999</v>
      </c>
      <c r="G8" s="23">
        <f>F8-F7</f>
        <v>0.185</v>
      </c>
      <c r="H8" s="217"/>
      <c r="I8" s="218"/>
      <c r="J8" s="219"/>
      <c r="K8" s="17"/>
      <c r="L8" s="17"/>
      <c r="M8" s="17"/>
      <c r="N8" s="2"/>
    </row>
    <row r="9" spans="1:14" ht="14.25" customHeight="1" thickTop="1">
      <c r="A9" s="144">
        <f ca="1">A8+TIME(,RAND()*1+(1-0),RAND()*10+10)</f>
        <v>1.6087962962962961E-3</v>
      </c>
      <c r="B9" s="140">
        <f t="shared" ref="B9:B15" si="0">C9*0.1256</f>
        <v>8.7919999999999998</v>
      </c>
      <c r="C9" s="20">
        <v>70</v>
      </c>
      <c r="D9" s="149">
        <v>0.55000000000000004</v>
      </c>
      <c r="E9" s="22">
        <v>0.26</v>
      </c>
      <c r="F9" s="150">
        <f t="shared" ref="F9:F15" si="1">IFERROR((D9+E9)/2," ")</f>
        <v>0.40500000000000003</v>
      </c>
      <c r="G9" s="23">
        <f>F9-$F$7</f>
        <v>0.35500000000000004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</row>
    <row r="10" spans="1:14" ht="14.25" customHeight="1">
      <c r="A10" s="144">
        <f ca="1">A9+TIME(,RAND()*1+(1-0),RAND()*10+5)</f>
        <v>2.3958333333333331E-3</v>
      </c>
      <c r="B10" s="140">
        <f t="shared" si="0"/>
        <v>13.187999999999999</v>
      </c>
      <c r="C10" s="20">
        <v>105</v>
      </c>
      <c r="D10" s="149">
        <v>0.74</v>
      </c>
      <c r="E10" s="22">
        <v>0.44</v>
      </c>
      <c r="F10" s="150">
        <f t="shared" si="1"/>
        <v>0.59</v>
      </c>
      <c r="G10" s="23">
        <f t="shared" ref="G10:G15" si="2">F10-$F$7</f>
        <v>0.53999999999999992</v>
      </c>
      <c r="H10" s="217"/>
      <c r="I10" s="218"/>
      <c r="J10" s="219"/>
      <c r="K10" s="24" t="s">
        <v>15</v>
      </c>
      <c r="L10" s="25">
        <v>0</v>
      </c>
      <c r="M10" s="62">
        <f>K13</f>
        <v>239.8</v>
      </c>
      <c r="N10" s="2"/>
    </row>
    <row r="11" spans="1:14" ht="14.25" customHeight="1" thickBot="1">
      <c r="A11" s="144">
        <f ca="1">A10+TIME(,RAND()*1+(1-0),RAND()*10+5)</f>
        <v>3.1828703703703702E-3</v>
      </c>
      <c r="B11" s="140">
        <f t="shared" si="0"/>
        <v>17.584</v>
      </c>
      <c r="C11" s="20">
        <v>140</v>
      </c>
      <c r="D11" s="149">
        <v>0.86</v>
      </c>
      <c r="E11" s="22">
        <v>0.6</v>
      </c>
      <c r="F11" s="150">
        <f t="shared" si="1"/>
        <v>0.73</v>
      </c>
      <c r="G11" s="23">
        <f t="shared" si="2"/>
        <v>0.67999999999999994</v>
      </c>
      <c r="H11" s="217" t="s">
        <v>16</v>
      </c>
      <c r="I11" s="218"/>
      <c r="J11" s="219" t="s">
        <v>17</v>
      </c>
      <c r="K11" s="24" t="s">
        <v>18</v>
      </c>
      <c r="L11" s="27">
        <v>1.25</v>
      </c>
      <c r="M11" s="28">
        <v>1.25</v>
      </c>
      <c r="N11" s="2"/>
    </row>
    <row r="12" spans="1:14" ht="14.25" customHeight="1" thickTop="1">
      <c r="A12" s="144">
        <f ca="1">A11+TIME(,RAND()*1+(1-0),RAND()*10+10)</f>
        <v>4.0162037037037033E-3</v>
      </c>
      <c r="B12" s="140">
        <f t="shared" si="0"/>
        <v>21.979999999999997</v>
      </c>
      <c r="C12" s="20">
        <v>175</v>
      </c>
      <c r="D12" s="149">
        <v>0.93</v>
      </c>
      <c r="E12" s="22">
        <v>0.83</v>
      </c>
      <c r="F12" s="150">
        <f t="shared" si="1"/>
        <v>0.88</v>
      </c>
      <c r="G12" s="23">
        <f t="shared" si="2"/>
        <v>0.83</v>
      </c>
      <c r="H12" s="217"/>
      <c r="I12" s="218"/>
      <c r="J12" s="219"/>
      <c r="K12" s="29" t="s">
        <v>19</v>
      </c>
      <c r="L12" s="227" t="s">
        <v>20</v>
      </c>
      <c r="M12" s="228"/>
      <c r="N12" s="2"/>
    </row>
    <row r="13" spans="1:14" ht="14.25" customHeight="1">
      <c r="A13" s="144">
        <f ca="1">A12+TIME(,RAND()*1+(1-0),RAND()*10+10)</f>
        <v>4.8842592592592583E-3</v>
      </c>
      <c r="B13" s="140">
        <f t="shared" si="0"/>
        <v>26.375999999999998</v>
      </c>
      <c r="C13" s="20">
        <v>210</v>
      </c>
      <c r="D13" s="149">
        <v>1.05</v>
      </c>
      <c r="E13" s="22">
        <v>1.1299999999999999</v>
      </c>
      <c r="F13" s="150">
        <f t="shared" si="1"/>
        <v>1.0899999999999999</v>
      </c>
      <c r="G13" s="23">
        <f t="shared" si="2"/>
        <v>1.0399999999999998</v>
      </c>
      <c r="H13" s="217" t="s">
        <v>16</v>
      </c>
      <c r="I13" s="218"/>
      <c r="J13" s="219" t="s">
        <v>23</v>
      </c>
      <c r="K13" s="30">
        <v>239.8</v>
      </c>
      <c r="L13" s="25">
        <f>M10</f>
        <v>239.8</v>
      </c>
      <c r="M13" s="26">
        <f>L13</f>
        <v>239.8</v>
      </c>
      <c r="N13" s="2"/>
    </row>
    <row r="14" spans="1:14" ht="14.25" customHeight="1" thickBot="1">
      <c r="A14" s="144">
        <f ca="1">A13+TIME(,RAND()*1+(1-0),RAND()*10+10)</f>
        <v>5.7060185185185174E-3</v>
      </c>
      <c r="B14" s="140">
        <f t="shared" si="0"/>
        <v>30.771999999999998</v>
      </c>
      <c r="C14" s="20">
        <v>245</v>
      </c>
      <c r="D14" s="149">
        <v>1.3</v>
      </c>
      <c r="E14" s="22">
        <v>1.43</v>
      </c>
      <c r="F14" s="150">
        <f t="shared" si="1"/>
        <v>1.365</v>
      </c>
      <c r="G14" s="23">
        <f t="shared" si="2"/>
        <v>1.3149999999999999</v>
      </c>
      <c r="H14" s="217"/>
      <c r="I14" s="218"/>
      <c r="J14" s="219"/>
      <c r="K14" s="17">
        <f>K13/1.25</f>
        <v>191.84</v>
      </c>
      <c r="L14" s="27">
        <v>1.25</v>
      </c>
      <c r="M14" s="28">
        <v>0</v>
      </c>
      <c r="N14" s="2"/>
    </row>
    <row r="15" spans="1:14" ht="14.25" customHeight="1" thickTop="1" thickBot="1">
      <c r="A15" s="144">
        <f ca="1">A14+TIME(,RAND()*1+(1-0),RAND()*10+10)</f>
        <v>6.5277777777777764E-3</v>
      </c>
      <c r="B15" s="140">
        <f t="shared" si="0"/>
        <v>35.167999999999999</v>
      </c>
      <c r="C15" s="20">
        <v>280</v>
      </c>
      <c r="D15" s="149">
        <v>1.59</v>
      </c>
      <c r="E15" s="22">
        <v>1.68</v>
      </c>
      <c r="F15" s="150">
        <f t="shared" si="1"/>
        <v>1.635</v>
      </c>
      <c r="G15" s="23">
        <f t="shared" si="2"/>
        <v>1.585</v>
      </c>
      <c r="H15" s="217" t="s">
        <v>16</v>
      </c>
      <c r="I15" s="218"/>
      <c r="J15" s="220" t="s">
        <v>27</v>
      </c>
      <c r="K15" s="2">
        <f>ROUND(K14,1)*1.3</f>
        <v>249.34000000000003</v>
      </c>
      <c r="L15" s="2"/>
      <c r="M15" s="2"/>
      <c r="N15" s="2" t="s">
        <v>33</v>
      </c>
    </row>
    <row r="16" spans="1:14" ht="14.25" customHeight="1">
      <c r="A16" s="144"/>
      <c r="B16" s="140"/>
      <c r="C16" s="20"/>
      <c r="D16" s="149"/>
      <c r="E16" s="22"/>
      <c r="F16" s="150"/>
      <c r="G16" s="23"/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5"/>
      <c r="B17" s="141"/>
      <c r="C17" s="20"/>
      <c r="D17" s="149"/>
      <c r="E17" s="22"/>
      <c r="F17" s="151"/>
      <c r="G17" s="23"/>
      <c r="H17" s="239" t="s">
        <v>12</v>
      </c>
      <c r="I17" s="240"/>
      <c r="J17" s="293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5"/>
      <c r="B18" s="141"/>
      <c r="C18" s="20"/>
      <c r="D18" s="149"/>
      <c r="E18" s="22"/>
      <c r="F18" s="151"/>
      <c r="G18" s="23"/>
      <c r="H18" s="291"/>
      <c r="I18" s="292"/>
      <c r="J18" s="294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5"/>
      <c r="B19" s="141"/>
      <c r="C19" s="20"/>
      <c r="D19" s="149"/>
      <c r="E19" s="22"/>
      <c r="F19" s="151"/>
      <c r="G19" s="23"/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5"/>
      <c r="B20" s="141"/>
      <c r="C20" s="20"/>
      <c r="D20" s="149"/>
      <c r="E20" s="22"/>
      <c r="F20" s="151"/>
      <c r="G20" s="23"/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5"/>
      <c r="B21" s="141"/>
      <c r="C21" s="20"/>
      <c r="D21" s="149"/>
      <c r="E21" s="22"/>
      <c r="F21" s="151"/>
      <c r="G21" s="23"/>
      <c r="H21" s="204" t="str">
        <f>"K40  = "&amp;ROUND(K13,1)&amp;"÷1.25"</f>
        <v>K40  = 239.8÷1.25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5"/>
      <c r="B22" s="141"/>
      <c r="C22" s="20"/>
      <c r="D22" s="149"/>
      <c r="E22" s="22"/>
      <c r="F22" s="151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5"/>
      <c r="B23" s="141"/>
      <c r="C23" s="20"/>
      <c r="D23" s="149"/>
      <c r="E23" s="22"/>
      <c r="F23" s="151"/>
      <c r="G23" s="23"/>
      <c r="H23" s="212">
        <f>K14</f>
        <v>191.84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07" t="str">
        <f>"K30  = "&amp;ROUND(K14,1)&amp;"×1.3"</f>
        <v>K30  = 191.8×1.3</v>
      </c>
      <c r="I26" s="208"/>
      <c r="J26" s="209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07"/>
      <c r="I27" s="208"/>
      <c r="J27" s="209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295">
        <f>K14*1.3</f>
        <v>249.39200000000002</v>
      </c>
      <c r="I28" s="212"/>
      <c r="J28" s="213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295"/>
      <c r="I29" s="212"/>
      <c r="J29" s="213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"&amp;ROUND(H28,1)&amp;" ＞ 196 MN/㎥ "</f>
        <v xml:space="preserve">  ∴ 249.4 ＞ 196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42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81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A57:J63"/>
    <mergeCell ref="A64:B66"/>
    <mergeCell ref="C64:D64"/>
    <mergeCell ref="E64:J64"/>
    <mergeCell ref="C65:D65"/>
    <mergeCell ref="E65:J65"/>
    <mergeCell ref="C66:D66"/>
    <mergeCell ref="E66:J66"/>
    <mergeCell ref="E55:J55"/>
    <mergeCell ref="H26:J27"/>
    <mergeCell ref="C56:D56"/>
    <mergeCell ref="E56:J56"/>
    <mergeCell ref="H28:J29"/>
    <mergeCell ref="H32:J33"/>
    <mergeCell ref="H34:J35"/>
    <mergeCell ref="H36:J37"/>
    <mergeCell ref="A38:J42"/>
    <mergeCell ref="A43:J43"/>
    <mergeCell ref="A45:J45"/>
    <mergeCell ref="A47:J53"/>
    <mergeCell ref="A54:B56"/>
    <mergeCell ref="C54:D54"/>
    <mergeCell ref="E54:J54"/>
    <mergeCell ref="C55:D55"/>
    <mergeCell ref="H19:J20"/>
    <mergeCell ref="M20:N20"/>
    <mergeCell ref="H21:J22"/>
    <mergeCell ref="M21:N21"/>
    <mergeCell ref="H23:J24"/>
    <mergeCell ref="L16:L17"/>
    <mergeCell ref="H17:I18"/>
    <mergeCell ref="J17:J18"/>
    <mergeCell ref="J9:J10"/>
    <mergeCell ref="L9:M9"/>
    <mergeCell ref="J11:J12"/>
    <mergeCell ref="L12:M12"/>
    <mergeCell ref="H11:I12"/>
    <mergeCell ref="H9:I10"/>
    <mergeCell ref="H13:I14"/>
    <mergeCell ref="J13:J14"/>
    <mergeCell ref="H15:I16"/>
    <mergeCell ref="J15:J16"/>
    <mergeCell ref="H7:I8"/>
    <mergeCell ref="J7:J8"/>
    <mergeCell ref="D5:F5"/>
    <mergeCell ref="G5:G6"/>
    <mergeCell ref="A1:J1"/>
    <mergeCell ref="A5:A6"/>
    <mergeCell ref="B5:C5"/>
    <mergeCell ref="H5:J6"/>
    <mergeCell ref="L1:M2"/>
    <mergeCell ref="B2:E2"/>
    <mergeCell ref="G2:J2"/>
    <mergeCell ref="B3:E3"/>
    <mergeCell ref="G3:J3"/>
    <mergeCell ref="L3:M4"/>
    <mergeCell ref="H4:J4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verticalDpi="300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48A8-33AD-4B8C-AE35-2E769444761C}">
  <dimension ref="A1:T66"/>
  <sheetViews>
    <sheetView view="pageBreakPreview" topLeftCell="A4" zoomScale="115" zoomScaleNormal="100" zoomScaleSheetLayoutView="115" workbookViewId="0">
      <selection activeCell="E20" sqref="E20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</f>
        <v>46160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96">
        <f>List!A4</f>
        <v>1</v>
      </c>
      <c r="C3" s="296"/>
      <c r="D3" s="296"/>
      <c r="E3" s="296"/>
      <c r="F3" s="45" t="s">
        <v>34</v>
      </c>
      <c r="G3" s="286" t="str">
        <f>List!C5</f>
        <v>중로(집) 3-14 (No.6 ~ No.9),소로(국)3-17 노체 2단(6층)</v>
      </c>
      <c r="H3" s="286"/>
      <c r="I3" s="286"/>
      <c r="J3" s="287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400</v>
      </c>
      <c r="D4" s="5" t="s">
        <v>5</v>
      </c>
      <c r="E4" s="46">
        <f>40*40/4*3.14</f>
        <v>1256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88" t="s">
        <v>10</v>
      </c>
      <c r="I7" s="289"/>
      <c r="J7" s="290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8.2175925925925927E-4</v>
      </c>
      <c r="B8" s="140">
        <f>C8*0.1256</f>
        <v>4.3959999999999999</v>
      </c>
      <c r="C8" s="20">
        <v>35</v>
      </c>
      <c r="D8" s="149">
        <v>0.1</v>
      </c>
      <c r="E8" s="22">
        <v>0.23</v>
      </c>
      <c r="F8" s="150">
        <f>IFERROR((D8+E8)/2," ")</f>
        <v>0.16500000000000001</v>
      </c>
      <c r="G8" s="23">
        <f>F8-F7</f>
        <v>0.16500000000000001</v>
      </c>
      <c r="H8" s="217"/>
      <c r="I8" s="218"/>
      <c r="J8" s="219"/>
      <c r="K8" s="17"/>
      <c r="L8" s="17"/>
      <c r="M8" s="17"/>
      <c r="N8" s="2"/>
      <c r="P8" s="3">
        <v>0.1</v>
      </c>
      <c r="Q8" s="3">
        <v>0.1</v>
      </c>
      <c r="S8" s="133">
        <f>E8+P8</f>
        <v>0.33</v>
      </c>
      <c r="T8" s="133">
        <f>F8+Q8</f>
        <v>0.26500000000000001</v>
      </c>
    </row>
    <row r="9" spans="1:20" ht="14.25" customHeight="1" thickTop="1">
      <c r="A9" s="144">
        <f ca="1">A8+TIME(,RAND()*1+(1-0),RAND()*10+10)</f>
        <v>1.6550925925925926E-3</v>
      </c>
      <c r="B9" s="140">
        <f t="shared" ref="B9:B15" si="0">C9*0.1256</f>
        <v>8.7919999999999998</v>
      </c>
      <c r="C9" s="20">
        <v>70</v>
      </c>
      <c r="D9" s="149">
        <v>0.36</v>
      </c>
      <c r="E9" s="22">
        <v>0.38</v>
      </c>
      <c r="F9" s="150">
        <f t="shared" ref="F9:F15" si="1">IFERROR((D9+E9)/2," ")</f>
        <v>0.37</v>
      </c>
      <c r="G9" s="23">
        <f>F9-$F$7</f>
        <v>0.37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0.48</v>
      </c>
      <c r="T9" s="133">
        <f t="shared" si="2"/>
        <v>0.47</v>
      </c>
    </row>
    <row r="10" spans="1:20" ht="14.25" customHeight="1">
      <c r="A10" s="144">
        <f ca="1">A9+TIME(,RAND()*1+(1-0),RAND()*10+5)</f>
        <v>2.4652777777777776E-3</v>
      </c>
      <c r="B10" s="140">
        <f t="shared" si="0"/>
        <v>13.187999999999999</v>
      </c>
      <c r="C10" s="20">
        <v>105</v>
      </c>
      <c r="D10" s="149">
        <v>0.69</v>
      </c>
      <c r="E10" s="22">
        <v>0.44</v>
      </c>
      <c r="F10" s="150">
        <f t="shared" si="1"/>
        <v>0.56499999999999995</v>
      </c>
      <c r="G10" s="23">
        <f t="shared" ref="G10:G15" si="3">F10-$F$7</f>
        <v>0.56499999999999995</v>
      </c>
      <c r="H10" s="217"/>
      <c r="I10" s="218"/>
      <c r="J10" s="219"/>
      <c r="K10" s="24" t="s">
        <v>15</v>
      </c>
      <c r="L10" s="25">
        <v>0</v>
      </c>
      <c r="M10" s="62">
        <f>K13</f>
        <v>219.5</v>
      </c>
      <c r="N10" s="2"/>
      <c r="P10" s="3">
        <v>0.1</v>
      </c>
      <c r="Q10" s="3">
        <v>0.1</v>
      </c>
      <c r="S10" s="133">
        <f t="shared" si="2"/>
        <v>0.54</v>
      </c>
      <c r="T10" s="133">
        <f t="shared" si="2"/>
        <v>0.66499999999999992</v>
      </c>
    </row>
    <row r="11" spans="1:20" ht="14.25" customHeight="1" thickBot="1">
      <c r="A11" s="144">
        <f ca="1">A10+TIME(,RAND()*1+(1-0),RAND()*10+5)</f>
        <v>3.2175925925925922E-3</v>
      </c>
      <c r="B11" s="140">
        <f t="shared" si="0"/>
        <v>17.584</v>
      </c>
      <c r="C11" s="20">
        <v>140</v>
      </c>
      <c r="D11" s="149">
        <v>1.03</v>
      </c>
      <c r="E11" s="22">
        <v>0.71</v>
      </c>
      <c r="F11" s="150">
        <f t="shared" si="1"/>
        <v>0.87</v>
      </c>
      <c r="G11" s="23">
        <f t="shared" si="3"/>
        <v>0.87</v>
      </c>
      <c r="H11" s="217" t="s">
        <v>16</v>
      </c>
      <c r="I11" s="218"/>
      <c r="J11" s="219" t="s">
        <v>17</v>
      </c>
      <c r="K11" s="24" t="s">
        <v>18</v>
      </c>
      <c r="L11" s="27">
        <v>1.25</v>
      </c>
      <c r="M11" s="28">
        <v>1.25</v>
      </c>
      <c r="N11" s="2"/>
      <c r="P11" s="3">
        <v>0.1</v>
      </c>
      <c r="Q11" s="3">
        <v>0.1</v>
      </c>
      <c r="S11" s="133">
        <f t="shared" si="2"/>
        <v>0.80999999999999994</v>
      </c>
      <c r="T11" s="133">
        <f t="shared" si="2"/>
        <v>0.97</v>
      </c>
    </row>
    <row r="12" spans="1:20" ht="14.25" customHeight="1" thickTop="1">
      <c r="A12" s="144">
        <f ca="1">A11+TIME(,RAND()*1+(1-0),RAND()*10+10)</f>
        <v>4.0277777777777777E-3</v>
      </c>
      <c r="B12" s="140">
        <f t="shared" si="0"/>
        <v>21.979999999999997</v>
      </c>
      <c r="C12" s="20">
        <v>175</v>
      </c>
      <c r="D12" s="149">
        <v>1.22</v>
      </c>
      <c r="E12" s="22">
        <v>0.85</v>
      </c>
      <c r="F12" s="150">
        <f t="shared" si="1"/>
        <v>1.0349999999999999</v>
      </c>
      <c r="G12" s="23">
        <f t="shared" si="3"/>
        <v>1.0349999999999999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0.95</v>
      </c>
      <c r="T12" s="133">
        <f t="shared" si="2"/>
        <v>1.135</v>
      </c>
    </row>
    <row r="13" spans="1:20" ht="14.25" customHeight="1">
      <c r="A13" s="144">
        <f ca="1">A12+TIME(,RAND()*1+(1-0),RAND()*10+10)</f>
        <v>4.8495370370370368E-3</v>
      </c>
      <c r="B13" s="140">
        <f t="shared" si="0"/>
        <v>26.375999999999998</v>
      </c>
      <c r="C13" s="20">
        <v>210</v>
      </c>
      <c r="D13" s="149">
        <v>1.23</v>
      </c>
      <c r="E13" s="22">
        <v>1.04</v>
      </c>
      <c r="F13" s="150">
        <f t="shared" si="1"/>
        <v>1.135</v>
      </c>
      <c r="G13" s="23">
        <f t="shared" si="3"/>
        <v>1.135</v>
      </c>
      <c r="H13" s="217" t="s">
        <v>16</v>
      </c>
      <c r="I13" s="218"/>
      <c r="J13" s="219" t="s">
        <v>23</v>
      </c>
      <c r="K13" s="30">
        <v>219.5</v>
      </c>
      <c r="L13" s="25">
        <f>M10</f>
        <v>219.5</v>
      </c>
      <c r="M13" s="26">
        <f>L13</f>
        <v>219.5</v>
      </c>
      <c r="N13" s="2"/>
      <c r="P13" s="3">
        <v>0.1</v>
      </c>
      <c r="Q13" s="3">
        <v>0.1</v>
      </c>
      <c r="S13" s="133">
        <f t="shared" si="2"/>
        <v>1.1400000000000001</v>
      </c>
      <c r="T13" s="133">
        <f t="shared" si="2"/>
        <v>1.2350000000000001</v>
      </c>
    </row>
    <row r="14" spans="1:20" ht="14.25" customHeight="1" thickBot="1">
      <c r="A14" s="144">
        <f ca="1">A13+TIME(,RAND()*1+(1-0),RAND()*10+10)</f>
        <v>5.7060185185185183E-3</v>
      </c>
      <c r="B14" s="140">
        <f t="shared" si="0"/>
        <v>30.771999999999998</v>
      </c>
      <c r="C14" s="20">
        <v>245</v>
      </c>
      <c r="D14" s="149">
        <v>1.33</v>
      </c>
      <c r="E14" s="22">
        <v>1.32</v>
      </c>
      <c r="F14" s="150">
        <f t="shared" si="1"/>
        <v>1.3250000000000002</v>
      </c>
      <c r="G14" s="23">
        <f t="shared" si="3"/>
        <v>1.3250000000000002</v>
      </c>
      <c r="H14" s="217"/>
      <c r="I14" s="218"/>
      <c r="J14" s="219"/>
      <c r="K14" s="17">
        <f>K13/1.25</f>
        <v>175.6</v>
      </c>
      <c r="L14" s="27">
        <v>1.25</v>
      </c>
      <c r="M14" s="28">
        <v>0</v>
      </c>
      <c r="N14" s="2"/>
      <c r="P14" s="3">
        <v>0.1</v>
      </c>
      <c r="Q14" s="3">
        <v>0.1</v>
      </c>
      <c r="S14" s="133">
        <f t="shared" si="2"/>
        <v>1.4200000000000002</v>
      </c>
      <c r="T14" s="133">
        <f t="shared" si="2"/>
        <v>1.4250000000000003</v>
      </c>
    </row>
    <row r="15" spans="1:20" ht="14.25" customHeight="1" thickTop="1" thickBot="1">
      <c r="A15" s="144">
        <f ca="1">A14+TIME(,RAND()*1+(1-0),RAND()*10+10)</f>
        <v>6.5162037037037037E-3</v>
      </c>
      <c r="B15" s="140">
        <f t="shared" si="0"/>
        <v>35.167999999999999</v>
      </c>
      <c r="C15" s="20">
        <v>280</v>
      </c>
      <c r="D15" s="149">
        <v>1.45</v>
      </c>
      <c r="E15" s="22">
        <v>1.67</v>
      </c>
      <c r="F15" s="150">
        <f t="shared" si="1"/>
        <v>1.56</v>
      </c>
      <c r="G15" s="23">
        <f t="shared" si="3"/>
        <v>1.56</v>
      </c>
      <c r="H15" s="217" t="s">
        <v>16</v>
      </c>
      <c r="I15" s="218"/>
      <c r="J15" s="220" t="s">
        <v>27</v>
      </c>
      <c r="K15" s="2">
        <f>ROUND(K14,1)*1.3</f>
        <v>228.28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1.77</v>
      </c>
      <c r="T15" s="133">
        <f t="shared" si="2"/>
        <v>1.6600000000000001</v>
      </c>
    </row>
    <row r="16" spans="1:20" ht="14.25" customHeight="1">
      <c r="A16" s="144"/>
      <c r="B16" s="140"/>
      <c r="C16" s="20"/>
      <c r="D16" s="149"/>
      <c r="E16" s="22"/>
      <c r="F16" s="150"/>
      <c r="G16" s="23"/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5"/>
      <c r="B17" s="141"/>
      <c r="C17" s="20"/>
      <c r="D17" s="149"/>
      <c r="E17" s="22"/>
      <c r="F17" s="151"/>
      <c r="G17" s="23"/>
      <c r="H17" s="239" t="s">
        <v>12</v>
      </c>
      <c r="I17" s="240"/>
      <c r="J17" s="293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5"/>
      <c r="B18" s="141"/>
      <c r="C18" s="20"/>
      <c r="D18" s="149"/>
      <c r="E18" s="22"/>
      <c r="F18" s="151"/>
      <c r="G18" s="23"/>
      <c r="H18" s="291"/>
      <c r="I18" s="292"/>
      <c r="J18" s="294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5"/>
      <c r="B19" s="141"/>
      <c r="C19" s="20"/>
      <c r="D19" s="149"/>
      <c r="E19" s="22"/>
      <c r="F19" s="151"/>
      <c r="G19" s="23"/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5"/>
      <c r="B20" s="141"/>
      <c r="C20" s="20"/>
      <c r="D20" s="149"/>
      <c r="E20" s="22"/>
      <c r="F20" s="151"/>
      <c r="G20" s="23"/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5"/>
      <c r="B21" s="141"/>
      <c r="C21" s="20"/>
      <c r="D21" s="149"/>
      <c r="E21" s="22"/>
      <c r="F21" s="151"/>
      <c r="G21" s="23"/>
      <c r="H21" s="204" t="str">
        <f>"K40  = "&amp;ROUND(K13,1)&amp;"÷1.25"</f>
        <v>K40  = 219.5÷1.25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5"/>
      <c r="B22" s="141"/>
      <c r="C22" s="20"/>
      <c r="D22" s="155"/>
      <c r="F22" s="151"/>
      <c r="G22" s="23"/>
      <c r="H22" s="207"/>
      <c r="I22" s="208"/>
      <c r="J22" s="209"/>
      <c r="K22" s="2"/>
      <c r="L22" s="2"/>
      <c r="M22" s="2"/>
      <c r="N22" s="2"/>
    </row>
    <row r="23" spans="1:14" ht="14.25" customHeight="1">
      <c r="A23" s="145"/>
      <c r="B23" s="141"/>
      <c r="C23" s="20"/>
      <c r="D23" s="149"/>
      <c r="E23" s="22"/>
      <c r="F23" s="151"/>
      <c r="G23" s="23"/>
      <c r="H23" s="212">
        <f>K14</f>
        <v>175.6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07" t="str">
        <f>"K30  = "&amp;ROUND(K14,1)&amp;"×1.3"</f>
        <v>K30  = 175.6×1.3</v>
      </c>
      <c r="I26" s="208"/>
      <c r="J26" s="209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07"/>
      <c r="I27" s="208"/>
      <c r="J27" s="209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295">
        <f>K14*1.3</f>
        <v>228.28</v>
      </c>
      <c r="I28" s="212"/>
      <c r="J28" s="213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295"/>
      <c r="I29" s="212"/>
      <c r="J29" s="213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"&amp;ROUND(H28,1)&amp;" ＞ 196 MN/㎥ "</f>
        <v xml:space="preserve">  ∴ 228.3 ＞ 196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85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83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69B0-D061-48FA-9388-B50AE6D74027}">
  <dimension ref="A1:T66"/>
  <sheetViews>
    <sheetView view="pageBreakPreview" topLeftCell="A6" zoomScale="115" zoomScaleNormal="100" zoomScaleSheetLayoutView="115" workbookViewId="0">
      <selection activeCell="O33" sqref="O33"/>
    </sheetView>
  </sheetViews>
  <sheetFormatPr defaultColWidth="9" defaultRowHeight="13.5"/>
  <cols>
    <col min="1" max="1" width="8.75" style="3" customWidth="1"/>
    <col min="2" max="4" width="8.625" style="3" customWidth="1"/>
    <col min="5" max="5" width="8.25" style="3" customWidth="1"/>
    <col min="6" max="6" width="8.875" style="3" customWidth="1"/>
    <col min="7" max="7" width="8.75" style="3" customWidth="1"/>
    <col min="8" max="8" width="10.375" style="3" customWidth="1"/>
    <col min="9" max="9" width="7.125" style="3" customWidth="1"/>
    <col min="10" max="10" width="7.375" style="3" customWidth="1"/>
    <col min="11" max="11" width="9" style="3"/>
    <col min="12" max="12" width="9.5" style="3" bestFit="1" customWidth="1"/>
    <col min="13" max="16384" width="9" style="3"/>
  </cols>
  <sheetData>
    <row r="1" spans="1:20" ht="34.9" customHeigh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5"/>
      <c r="K1" s="1"/>
      <c r="L1" s="246" t="s">
        <v>50</v>
      </c>
      <c r="M1" s="247"/>
      <c r="N1" s="2"/>
    </row>
    <row r="2" spans="1:20" ht="25.15" customHeight="1" thickBot="1">
      <c r="A2" s="36" t="s">
        <v>1</v>
      </c>
      <c r="B2" s="250" t="s">
        <v>82</v>
      </c>
      <c r="C2" s="250"/>
      <c r="D2" s="250"/>
      <c r="E2" s="250"/>
      <c r="F2" s="38" t="s">
        <v>2</v>
      </c>
      <c r="G2" s="251">
        <f>List!B4</f>
        <v>46160</v>
      </c>
      <c r="H2" s="251"/>
      <c r="I2" s="251"/>
      <c r="J2" s="252"/>
      <c r="K2" s="2" t="s">
        <v>52</v>
      </c>
      <c r="L2" s="248"/>
      <c r="M2" s="249"/>
      <c r="N2" s="2"/>
    </row>
    <row r="3" spans="1:20" ht="25.15" customHeight="1">
      <c r="A3" s="37" t="s">
        <v>3</v>
      </c>
      <c r="B3" s="296">
        <f>List!A4</f>
        <v>1</v>
      </c>
      <c r="C3" s="296"/>
      <c r="D3" s="296"/>
      <c r="E3" s="296"/>
      <c r="F3" s="45" t="s">
        <v>34</v>
      </c>
      <c r="G3" s="286" t="str">
        <f>List!C4</f>
        <v>중로(집) 3-14 (No.6 ~ No.9),소로(국)3-17 노체 1단(3층)</v>
      </c>
      <c r="H3" s="286"/>
      <c r="I3" s="286"/>
      <c r="J3" s="287"/>
      <c r="K3" s="80">
        <v>1</v>
      </c>
      <c r="L3" s="246" t="s">
        <v>51</v>
      </c>
      <c r="M3" s="247"/>
      <c r="N3" s="2"/>
    </row>
    <row r="4" spans="1:20" ht="17.25" customHeight="1" thickBot="1">
      <c r="A4" s="4" t="s">
        <v>4</v>
      </c>
      <c r="B4" s="136" t="s">
        <v>71</v>
      </c>
      <c r="C4" s="137">
        <v>300</v>
      </c>
      <c r="D4" s="5" t="s">
        <v>5</v>
      </c>
      <c r="E4" s="156">
        <f>30*30/4*3.14</f>
        <v>706.5</v>
      </c>
      <c r="F4" s="5" t="s">
        <v>6</v>
      </c>
      <c r="G4" s="135" t="s">
        <v>72</v>
      </c>
      <c r="H4" s="256" t="s">
        <v>69</v>
      </c>
      <c r="I4" s="257"/>
      <c r="J4" s="258"/>
      <c r="K4" s="2"/>
      <c r="L4" s="248"/>
      <c r="M4" s="249"/>
      <c r="N4" s="2"/>
    </row>
    <row r="5" spans="1:20" ht="15" customHeight="1">
      <c r="A5" s="229" t="s">
        <v>80</v>
      </c>
      <c r="B5" s="231" t="s">
        <v>75</v>
      </c>
      <c r="C5" s="232"/>
      <c r="D5" s="233" t="s">
        <v>76</v>
      </c>
      <c r="E5" s="231"/>
      <c r="F5" s="232"/>
      <c r="G5" s="234" t="s">
        <v>73</v>
      </c>
      <c r="H5" s="236" t="s">
        <v>35</v>
      </c>
      <c r="I5" s="197"/>
      <c r="J5" s="198"/>
      <c r="K5" s="6"/>
      <c r="L5" s="2"/>
      <c r="M5" s="2"/>
      <c r="N5" s="2"/>
    </row>
    <row r="6" spans="1:20" ht="27" customHeight="1">
      <c r="A6" s="230"/>
      <c r="B6" s="138" t="s">
        <v>70</v>
      </c>
      <c r="C6" s="9" t="s">
        <v>74</v>
      </c>
      <c r="D6" s="7" t="s">
        <v>77</v>
      </c>
      <c r="E6" s="8" t="s">
        <v>78</v>
      </c>
      <c r="F6" s="10" t="s">
        <v>79</v>
      </c>
      <c r="G6" s="235"/>
      <c r="H6" s="200"/>
      <c r="I6" s="200"/>
      <c r="J6" s="201"/>
      <c r="K6" s="2"/>
      <c r="L6" s="2"/>
      <c r="M6" s="2"/>
      <c r="N6" s="2"/>
    </row>
    <row r="7" spans="1:20" ht="14.25" customHeight="1">
      <c r="A7" s="143">
        <v>0</v>
      </c>
      <c r="B7" s="139">
        <v>0</v>
      </c>
      <c r="C7" s="13">
        <v>0</v>
      </c>
      <c r="D7" s="147">
        <v>0</v>
      </c>
      <c r="E7" s="15">
        <v>0</v>
      </c>
      <c r="F7" s="148">
        <f>(D7+E7)/2</f>
        <v>0</v>
      </c>
      <c r="G7" s="16">
        <v>0</v>
      </c>
      <c r="H7" s="237" t="s">
        <v>10</v>
      </c>
      <c r="I7" s="238"/>
      <c r="J7" s="241" t="s">
        <v>11</v>
      </c>
      <c r="K7" s="17"/>
      <c r="L7" s="17"/>
      <c r="M7" s="17"/>
      <c r="N7" s="2"/>
    </row>
    <row r="8" spans="1:20" ht="14.25" customHeight="1" thickBot="1">
      <c r="A8" s="144">
        <f ca="1">TIME(,RAND()*1+(1-0),RAND()*10+4)</f>
        <v>7.7546296296296293E-4</v>
      </c>
      <c r="B8" s="140">
        <f>C8*0.07065</f>
        <v>2.47275</v>
      </c>
      <c r="C8" s="20">
        <v>35</v>
      </c>
      <c r="D8" s="149">
        <v>0.17</v>
      </c>
      <c r="E8" s="22">
        <v>0.24</v>
      </c>
      <c r="F8" s="150">
        <f>IFERROR((D8+E8)/2," ")</f>
        <v>0.20500000000000002</v>
      </c>
      <c r="G8" s="23">
        <f>F8-F7</f>
        <v>0.20500000000000002</v>
      </c>
      <c r="H8" s="239"/>
      <c r="I8" s="240"/>
      <c r="J8" s="242"/>
      <c r="K8" s="17"/>
      <c r="L8" s="17"/>
      <c r="M8" s="17"/>
      <c r="N8" s="2"/>
      <c r="P8" s="3">
        <v>0.1</v>
      </c>
      <c r="Q8" s="3">
        <v>0.1</v>
      </c>
      <c r="S8" s="133">
        <f>E8+P8</f>
        <v>0.33999999999999997</v>
      </c>
      <c r="T8" s="133">
        <f>F8+Q8</f>
        <v>0.30500000000000005</v>
      </c>
    </row>
    <row r="9" spans="1:20" ht="14.25" customHeight="1" thickTop="1">
      <c r="A9" s="144">
        <f ca="1">A8+TIME(,RAND()*1+(1-0),RAND()*10+10)</f>
        <v>1.6666666666666666E-3</v>
      </c>
      <c r="B9" s="140">
        <f t="shared" ref="B9:B23" si="0">C9*0.07065</f>
        <v>4.9455</v>
      </c>
      <c r="C9" s="20">
        <v>70</v>
      </c>
      <c r="D9" s="149">
        <v>0.47</v>
      </c>
      <c r="E9" s="22">
        <v>0.27</v>
      </c>
      <c r="F9" s="150">
        <f t="shared" ref="F9:F23" si="1">IFERROR((D9+E9)/2," ")</f>
        <v>0.37</v>
      </c>
      <c r="G9" s="23">
        <f>F9-$F$7</f>
        <v>0.37</v>
      </c>
      <c r="H9" s="217" t="s">
        <v>12</v>
      </c>
      <c r="I9" s="218"/>
      <c r="J9" s="219" t="s">
        <v>13</v>
      </c>
      <c r="K9" s="17"/>
      <c r="L9" s="227" t="s">
        <v>14</v>
      </c>
      <c r="M9" s="228"/>
      <c r="N9" s="2"/>
      <c r="P9" s="3">
        <v>0.1</v>
      </c>
      <c r="Q9" s="3">
        <v>0.1</v>
      </c>
      <c r="S9" s="133">
        <f t="shared" ref="S9:T15" si="2">E9+P9</f>
        <v>0.37</v>
      </c>
      <c r="T9" s="133">
        <f t="shared" si="2"/>
        <v>0.47</v>
      </c>
    </row>
    <row r="10" spans="1:20" ht="14.25" customHeight="1">
      <c r="A10" s="144">
        <f ca="1">A9+TIME(,RAND()*1+(1-0),RAND()*10+5)</f>
        <v>2.5000000000000001E-3</v>
      </c>
      <c r="B10" s="140">
        <f t="shared" si="0"/>
        <v>7.4182500000000005</v>
      </c>
      <c r="C10" s="20">
        <v>105</v>
      </c>
      <c r="D10" s="149">
        <v>0.59</v>
      </c>
      <c r="E10" s="22">
        <v>0.55000000000000004</v>
      </c>
      <c r="F10" s="150">
        <f t="shared" si="1"/>
        <v>0.57000000000000006</v>
      </c>
      <c r="G10" s="23">
        <f t="shared" ref="G10:G23" si="3">F10-$F$7</f>
        <v>0.57000000000000006</v>
      </c>
      <c r="H10" s="217"/>
      <c r="I10" s="218"/>
      <c r="J10" s="219"/>
      <c r="K10" s="24" t="s">
        <v>15</v>
      </c>
      <c r="L10" s="25">
        <v>0</v>
      </c>
      <c r="M10" s="62">
        <f>K13</f>
        <v>493</v>
      </c>
      <c r="N10" s="2"/>
      <c r="P10" s="3">
        <v>0.1</v>
      </c>
      <c r="Q10" s="3">
        <v>0.1</v>
      </c>
      <c r="S10" s="133">
        <f t="shared" si="2"/>
        <v>0.65</v>
      </c>
      <c r="T10" s="133">
        <f t="shared" si="2"/>
        <v>0.67</v>
      </c>
    </row>
    <row r="11" spans="1:20" ht="14.25" customHeight="1" thickBot="1">
      <c r="A11" s="144">
        <f ca="1">A10+TIME(,RAND()*1+(1-0),RAND()*10+5)</f>
        <v>3.3333333333333335E-3</v>
      </c>
      <c r="B11" s="140">
        <f t="shared" si="0"/>
        <v>9.891</v>
      </c>
      <c r="C11" s="20">
        <v>140</v>
      </c>
      <c r="D11" s="149">
        <v>0.66</v>
      </c>
      <c r="E11" s="22">
        <v>0.66</v>
      </c>
      <c r="F11" s="150">
        <f t="shared" si="1"/>
        <v>0.66</v>
      </c>
      <c r="G11" s="23">
        <f t="shared" si="3"/>
        <v>0.66</v>
      </c>
      <c r="H11" s="217" t="s">
        <v>16</v>
      </c>
      <c r="I11" s="218"/>
      <c r="J11" s="219" t="s">
        <v>17</v>
      </c>
      <c r="K11" s="24" t="s">
        <v>18</v>
      </c>
      <c r="L11" s="27">
        <v>2.5</v>
      </c>
      <c r="M11" s="28">
        <v>2.5</v>
      </c>
      <c r="N11" s="2"/>
      <c r="P11" s="3">
        <v>0.1</v>
      </c>
      <c r="Q11" s="3">
        <v>0.1</v>
      </c>
      <c r="S11" s="133">
        <f t="shared" si="2"/>
        <v>0.76</v>
      </c>
      <c r="T11" s="133">
        <f t="shared" si="2"/>
        <v>0.76</v>
      </c>
    </row>
    <row r="12" spans="1:20" ht="14.25" customHeight="1" thickTop="1">
      <c r="A12" s="144">
        <f ca="1">A11+TIME(,RAND()*1+(1-0),RAND()*10+10)</f>
        <v>4.2013888888888891E-3</v>
      </c>
      <c r="B12" s="140">
        <f t="shared" si="0"/>
        <v>12.363750000000001</v>
      </c>
      <c r="C12" s="20">
        <v>175</v>
      </c>
      <c r="D12" s="149">
        <v>0.67</v>
      </c>
      <c r="E12" s="22">
        <v>0.71</v>
      </c>
      <c r="F12" s="150">
        <f t="shared" si="1"/>
        <v>0.69</v>
      </c>
      <c r="G12" s="23">
        <f t="shared" si="3"/>
        <v>0.69</v>
      </c>
      <c r="H12" s="217"/>
      <c r="I12" s="218"/>
      <c r="J12" s="219"/>
      <c r="K12" s="29" t="s">
        <v>19</v>
      </c>
      <c r="L12" s="227" t="s">
        <v>20</v>
      </c>
      <c r="M12" s="228"/>
      <c r="N12" s="2"/>
      <c r="P12" s="3">
        <v>0.1</v>
      </c>
      <c r="Q12" s="3">
        <v>0.1</v>
      </c>
      <c r="S12" s="133">
        <f t="shared" si="2"/>
        <v>0.80999999999999994</v>
      </c>
      <c r="T12" s="133">
        <f t="shared" si="2"/>
        <v>0.78999999999999992</v>
      </c>
    </row>
    <row r="13" spans="1:20" ht="14.25" customHeight="1">
      <c r="A13" s="144">
        <f ca="1">A12+TIME(,RAND()*1+(1-0),RAND()*10+10)</f>
        <v>5.1041666666666666E-3</v>
      </c>
      <c r="B13" s="140">
        <f t="shared" si="0"/>
        <v>14.836500000000001</v>
      </c>
      <c r="C13" s="20">
        <v>210</v>
      </c>
      <c r="D13" s="149">
        <v>0.87</v>
      </c>
      <c r="E13" s="22">
        <v>1.01</v>
      </c>
      <c r="F13" s="150">
        <f t="shared" si="1"/>
        <v>0.94</v>
      </c>
      <c r="G13" s="23">
        <f t="shared" si="3"/>
        <v>0.94</v>
      </c>
      <c r="H13" s="217" t="s">
        <v>16</v>
      </c>
      <c r="I13" s="218"/>
      <c r="J13" s="219" t="s">
        <v>23</v>
      </c>
      <c r="K13" s="30">
        <v>493</v>
      </c>
      <c r="L13" s="25">
        <f>M10</f>
        <v>493</v>
      </c>
      <c r="M13" s="26">
        <f>L13</f>
        <v>493</v>
      </c>
      <c r="N13" s="2"/>
      <c r="P13" s="3">
        <v>0.1</v>
      </c>
      <c r="Q13" s="3">
        <v>0.1</v>
      </c>
      <c r="S13" s="133">
        <f t="shared" si="2"/>
        <v>1.1100000000000001</v>
      </c>
      <c r="T13" s="133">
        <f t="shared" si="2"/>
        <v>1.04</v>
      </c>
    </row>
    <row r="14" spans="1:20" ht="14.25" customHeight="1" thickBot="1">
      <c r="A14" s="144">
        <f ca="1">A13+TIME(,RAND()*1+(1-0),RAND()*10+10)</f>
        <v>6.0185185185185185E-3</v>
      </c>
      <c r="B14" s="140">
        <f t="shared" si="0"/>
        <v>17.309250000000002</v>
      </c>
      <c r="C14" s="20">
        <v>245</v>
      </c>
      <c r="D14" s="149">
        <v>1.1000000000000001</v>
      </c>
      <c r="E14" s="22">
        <v>1.24</v>
      </c>
      <c r="F14" s="150">
        <f t="shared" si="1"/>
        <v>1.17</v>
      </c>
      <c r="G14" s="23">
        <f t="shared" si="3"/>
        <v>1.17</v>
      </c>
      <c r="H14" s="217"/>
      <c r="I14" s="218"/>
      <c r="J14" s="219"/>
      <c r="K14" s="17">
        <f>K13/2.5</f>
        <v>197.2</v>
      </c>
      <c r="L14" s="27">
        <v>2.5</v>
      </c>
      <c r="M14" s="28">
        <v>0</v>
      </c>
      <c r="N14" s="2"/>
      <c r="P14" s="3">
        <v>0.1</v>
      </c>
      <c r="Q14" s="3">
        <v>0.1</v>
      </c>
      <c r="S14" s="133">
        <f t="shared" si="2"/>
        <v>1.34</v>
      </c>
      <c r="T14" s="133">
        <f t="shared" si="2"/>
        <v>1.27</v>
      </c>
    </row>
    <row r="15" spans="1:20" ht="14.25" customHeight="1" thickTop="1" thickBot="1">
      <c r="A15" s="144">
        <f ca="1">A14+TIME(,RAND()*1+(1-0),RAND()*10+10)</f>
        <v>6.8865740740740745E-3</v>
      </c>
      <c r="B15" s="140">
        <f t="shared" si="0"/>
        <v>19.782</v>
      </c>
      <c r="C15" s="20">
        <v>280</v>
      </c>
      <c r="D15" s="149">
        <v>1.1599999999999999</v>
      </c>
      <c r="E15" s="22">
        <v>1.36</v>
      </c>
      <c r="F15" s="150">
        <f t="shared" si="1"/>
        <v>1.26</v>
      </c>
      <c r="G15" s="23">
        <f t="shared" si="3"/>
        <v>1.26</v>
      </c>
      <c r="H15" s="217" t="s">
        <v>16</v>
      </c>
      <c r="I15" s="218"/>
      <c r="J15" s="220" t="s">
        <v>27</v>
      </c>
      <c r="K15" s="2">
        <f>ROUND(K14,1)*1.3</f>
        <v>256.36</v>
      </c>
      <c r="L15" s="2"/>
      <c r="M15" s="2"/>
      <c r="N15" s="2" t="s">
        <v>33</v>
      </c>
      <c r="P15" s="3">
        <v>0.1</v>
      </c>
      <c r="Q15" s="3">
        <v>0.1</v>
      </c>
      <c r="S15" s="133">
        <f t="shared" si="2"/>
        <v>1.4600000000000002</v>
      </c>
      <c r="T15" s="133">
        <f t="shared" si="2"/>
        <v>1.36</v>
      </c>
    </row>
    <row r="16" spans="1:20" ht="14.25" customHeight="1">
      <c r="A16" s="144">
        <f ca="1">A15+TIME(,RAND()*1+(1-0),RAND()*10+10)</f>
        <v>7.789351851851852E-3</v>
      </c>
      <c r="B16" s="140">
        <f t="shared" si="0"/>
        <v>22.254750000000001</v>
      </c>
      <c r="C16" s="20">
        <v>315</v>
      </c>
      <c r="D16" s="149">
        <v>1.24</v>
      </c>
      <c r="E16" s="22">
        <v>1.64</v>
      </c>
      <c r="F16" s="150">
        <f t="shared" si="1"/>
        <v>1.44</v>
      </c>
      <c r="G16" s="23">
        <f t="shared" si="3"/>
        <v>1.44</v>
      </c>
      <c r="H16" s="217"/>
      <c r="I16" s="218"/>
      <c r="J16" s="220"/>
      <c r="K16" s="2"/>
      <c r="L16" s="221" t="s">
        <v>21</v>
      </c>
      <c r="M16" s="63" t="s">
        <v>22</v>
      </c>
      <c r="N16" s="64">
        <v>250</v>
      </c>
    </row>
    <row r="17" spans="1:14" ht="14.25" customHeight="1">
      <c r="A17" s="144">
        <f t="shared" ref="A17:A23" ca="1" si="4">A16+TIME(,RAND()*1+(1-0),RAND()*10+10)</f>
        <v>8.6574074074074071E-3</v>
      </c>
      <c r="B17" s="140">
        <f t="shared" si="0"/>
        <v>24.727500000000003</v>
      </c>
      <c r="C17" s="20">
        <v>350</v>
      </c>
      <c r="D17" s="149">
        <v>1.27</v>
      </c>
      <c r="E17" s="22">
        <v>1.75</v>
      </c>
      <c r="F17" s="150">
        <f t="shared" si="1"/>
        <v>1.51</v>
      </c>
      <c r="G17" s="23">
        <f t="shared" si="3"/>
        <v>1.51</v>
      </c>
      <c r="H17" s="217" t="s">
        <v>12</v>
      </c>
      <c r="I17" s="218"/>
      <c r="J17" s="225" t="s">
        <v>30</v>
      </c>
      <c r="K17" s="2"/>
      <c r="L17" s="222"/>
      <c r="M17" s="34" t="s">
        <v>24</v>
      </c>
      <c r="N17" s="65" t="s">
        <v>25</v>
      </c>
    </row>
    <row r="18" spans="1:14" ht="14.25" customHeight="1">
      <c r="A18" s="144">
        <f t="shared" ca="1" si="4"/>
        <v>9.4675925925925917E-3</v>
      </c>
      <c r="B18" s="140">
        <f t="shared" si="0"/>
        <v>27.20025</v>
      </c>
      <c r="C18" s="20">
        <v>385</v>
      </c>
      <c r="D18" s="149">
        <v>1.55</v>
      </c>
      <c r="E18" s="22">
        <v>2.0499999999999998</v>
      </c>
      <c r="F18" s="150">
        <f t="shared" si="1"/>
        <v>1.7999999999999998</v>
      </c>
      <c r="G18" s="23">
        <f t="shared" si="3"/>
        <v>1.7999999999999998</v>
      </c>
      <c r="H18" s="223"/>
      <c r="I18" s="224"/>
      <c r="J18" s="226"/>
      <c r="K18" s="2"/>
      <c r="L18" s="66" t="s">
        <v>26</v>
      </c>
      <c r="M18" s="34">
        <v>244</v>
      </c>
      <c r="N18" s="65">
        <v>257</v>
      </c>
    </row>
    <row r="19" spans="1:14" ht="14.25" customHeight="1">
      <c r="A19" s="144">
        <f t="shared" ca="1" si="4"/>
        <v>1.0277777777777776E-2</v>
      </c>
      <c r="B19" s="140">
        <f t="shared" si="0"/>
        <v>29.673000000000002</v>
      </c>
      <c r="C19" s="20">
        <v>420</v>
      </c>
      <c r="D19" s="149">
        <v>1.72</v>
      </c>
      <c r="E19" s="22">
        <v>2.29</v>
      </c>
      <c r="F19" s="150">
        <f t="shared" si="1"/>
        <v>2.0049999999999999</v>
      </c>
      <c r="G19" s="23">
        <f t="shared" si="3"/>
        <v>2.0049999999999999</v>
      </c>
      <c r="H19" s="196" t="s">
        <v>39</v>
      </c>
      <c r="I19" s="197"/>
      <c r="J19" s="198"/>
      <c r="K19" s="2"/>
      <c r="L19" s="66" t="s">
        <v>28</v>
      </c>
      <c r="M19" s="34">
        <v>840</v>
      </c>
      <c r="N19" s="65">
        <v>875</v>
      </c>
    </row>
    <row r="20" spans="1:14" ht="14.25" customHeight="1">
      <c r="A20" s="144">
        <f t="shared" ca="1" si="4"/>
        <v>1.1145833333333332E-2</v>
      </c>
      <c r="B20" s="140">
        <f t="shared" si="0"/>
        <v>32.14575</v>
      </c>
      <c r="C20" s="20">
        <v>455</v>
      </c>
      <c r="D20" s="149">
        <v>1.75</v>
      </c>
      <c r="E20" s="22">
        <v>2.37</v>
      </c>
      <c r="F20" s="150">
        <f t="shared" si="1"/>
        <v>2.06</v>
      </c>
      <c r="G20" s="23">
        <f t="shared" si="3"/>
        <v>2.06</v>
      </c>
      <c r="H20" s="199"/>
      <c r="I20" s="200"/>
      <c r="J20" s="201"/>
      <c r="K20" s="2"/>
      <c r="L20" s="67" t="s">
        <v>29</v>
      </c>
      <c r="M20" s="202">
        <f>M19+((N16-M18)/((N18-M18)/(N19-M19)))</f>
        <v>856.15384615384619</v>
      </c>
      <c r="N20" s="203"/>
    </row>
    <row r="21" spans="1:14" ht="14.25" customHeight="1" thickBot="1">
      <c r="A21" s="144">
        <f t="shared" ca="1" si="4"/>
        <v>1.1979166666666666E-2</v>
      </c>
      <c r="B21" s="140">
        <f t="shared" si="0"/>
        <v>34.618500000000004</v>
      </c>
      <c r="C21" s="20">
        <v>490</v>
      </c>
      <c r="D21" s="149">
        <v>2.04</v>
      </c>
      <c r="E21" s="22">
        <v>2.4</v>
      </c>
      <c r="F21" s="150">
        <f t="shared" si="1"/>
        <v>2.2199999999999998</v>
      </c>
      <c r="G21" s="23">
        <f t="shared" si="3"/>
        <v>2.2199999999999998</v>
      </c>
      <c r="H21" s="204" t="str">
        <f>"K30  = "&amp;ROUND(K13,1)&amp;"÷2.5"</f>
        <v>K30  = 493÷2.5</v>
      </c>
      <c r="I21" s="205"/>
      <c r="J21" s="206"/>
      <c r="K21" s="2"/>
      <c r="L21" s="68" t="s">
        <v>31</v>
      </c>
      <c r="M21" s="210">
        <f>M20/N16*100</f>
        <v>342.46153846153845</v>
      </c>
      <c r="N21" s="211"/>
    </row>
    <row r="22" spans="1:14" ht="14.25" customHeight="1">
      <c r="A22" s="144">
        <f t="shared" ca="1" si="4"/>
        <v>1.2800925925925926E-2</v>
      </c>
      <c r="B22" s="140">
        <f t="shared" si="0"/>
        <v>37.091250000000002</v>
      </c>
      <c r="C22" s="20">
        <v>525</v>
      </c>
      <c r="D22" s="149">
        <v>2.7949999999999999</v>
      </c>
      <c r="E22" s="22">
        <v>3.0459999999999998</v>
      </c>
      <c r="F22" s="150">
        <f t="shared" si="1"/>
        <v>2.9204999999999997</v>
      </c>
      <c r="G22" s="23">
        <f t="shared" si="3"/>
        <v>2.9204999999999997</v>
      </c>
      <c r="H22" s="207"/>
      <c r="I22" s="208"/>
      <c r="J22" s="209"/>
      <c r="K22" s="2"/>
      <c r="L22" s="2"/>
      <c r="M22" s="2"/>
      <c r="N22" s="2"/>
    </row>
    <row r="23" spans="1:14" ht="14.25" customHeight="1">
      <c r="A23" s="144">
        <f t="shared" ca="1" si="4"/>
        <v>1.3692129629629629E-2</v>
      </c>
      <c r="B23" s="140">
        <f t="shared" si="0"/>
        <v>39.564</v>
      </c>
      <c r="C23" s="20">
        <v>560</v>
      </c>
      <c r="D23" s="149">
        <v>3.105</v>
      </c>
      <c r="E23" s="22">
        <v>3.1459999999999999</v>
      </c>
      <c r="F23" s="150">
        <f t="shared" si="1"/>
        <v>3.1254999999999997</v>
      </c>
      <c r="G23" s="23">
        <f t="shared" si="3"/>
        <v>3.1254999999999997</v>
      </c>
      <c r="H23" s="212">
        <f>K14</f>
        <v>197.2</v>
      </c>
      <c r="I23" s="212"/>
      <c r="J23" s="213"/>
      <c r="K23" s="2"/>
      <c r="L23" s="2"/>
      <c r="M23" s="2" t="s">
        <v>32</v>
      </c>
      <c r="N23" s="2"/>
    </row>
    <row r="24" spans="1:14" ht="14.25" customHeight="1">
      <c r="A24" s="145"/>
      <c r="B24" s="141"/>
      <c r="C24" s="20"/>
      <c r="D24" s="149"/>
      <c r="E24" s="22"/>
      <c r="F24" s="151"/>
      <c r="G24" s="23"/>
      <c r="H24" s="212"/>
      <c r="I24" s="212"/>
      <c r="J24" s="213"/>
      <c r="K24" s="2"/>
      <c r="L24" s="2"/>
      <c r="M24" s="2"/>
      <c r="N24" s="2"/>
    </row>
    <row r="25" spans="1:14" ht="14.25" customHeight="1">
      <c r="A25" s="146"/>
      <c r="B25" s="142"/>
      <c r="C25" s="48"/>
      <c r="D25" s="152"/>
      <c r="E25" s="153"/>
      <c r="F25" s="154"/>
      <c r="G25" s="49"/>
      <c r="H25" s="61"/>
      <c r="J25" s="69"/>
      <c r="K25" s="2"/>
      <c r="L25" s="2"/>
      <c r="M25" s="2"/>
      <c r="N25" s="2"/>
    </row>
    <row r="26" spans="1:14" ht="14.25" customHeight="1">
      <c r="A26" s="50"/>
      <c r="B26" s="51"/>
      <c r="C26" s="52"/>
      <c r="D26" s="53"/>
      <c r="E26" s="54"/>
      <c r="F26" s="54"/>
      <c r="G26" s="55"/>
      <c r="H26" s="214" t="str">
        <f>"K30  = "&amp;ROUND(K14,1)&amp;"×1.3"</f>
        <v>K30  = 197.2×1.3</v>
      </c>
      <c r="I26" s="215"/>
      <c r="J26" s="216"/>
      <c r="K26" s="32"/>
      <c r="L26" s="2"/>
      <c r="M26" s="2"/>
      <c r="N26" s="2"/>
    </row>
    <row r="27" spans="1:14" ht="14.25" customHeight="1">
      <c r="A27" s="43"/>
      <c r="B27" s="56"/>
      <c r="C27" s="57"/>
      <c r="D27" s="58"/>
      <c r="E27" s="59"/>
      <c r="F27" s="59"/>
      <c r="G27" s="60"/>
      <c r="H27" s="214"/>
      <c r="I27" s="215"/>
      <c r="J27" s="216"/>
      <c r="K27" s="2"/>
      <c r="L27" s="2"/>
      <c r="M27" s="2"/>
      <c r="N27" s="2"/>
    </row>
    <row r="28" spans="1:14" ht="14.25" customHeight="1">
      <c r="A28" s="43"/>
      <c r="B28" s="56"/>
      <c r="C28" s="57"/>
      <c r="D28" s="58"/>
      <c r="E28" s="59"/>
      <c r="F28" s="59"/>
      <c r="G28" s="60"/>
      <c r="H28" s="169">
        <f>K14*1.3</f>
        <v>256.36</v>
      </c>
      <c r="I28" s="170"/>
      <c r="J28" s="171"/>
      <c r="K28" s="33"/>
      <c r="L28" s="2"/>
      <c r="M28" s="2"/>
      <c r="N28" s="2"/>
    </row>
    <row r="29" spans="1:14" ht="14.25" customHeight="1">
      <c r="A29" s="43"/>
      <c r="B29" s="56"/>
      <c r="C29" s="57"/>
      <c r="D29" s="58"/>
      <c r="E29" s="59"/>
      <c r="F29" s="59"/>
      <c r="G29" s="60"/>
      <c r="H29" s="169"/>
      <c r="I29" s="170"/>
      <c r="J29" s="171"/>
      <c r="K29" s="2"/>
      <c r="L29" s="2"/>
      <c r="M29" s="2"/>
      <c r="N29" s="2"/>
    </row>
    <row r="30" spans="1:14" ht="14.25" customHeight="1">
      <c r="A30" s="43"/>
      <c r="B30" s="56"/>
      <c r="C30" s="57"/>
      <c r="D30" s="58"/>
      <c r="E30" s="59"/>
      <c r="F30" s="59"/>
      <c r="G30" s="60"/>
      <c r="J30" s="69"/>
      <c r="K30" s="31"/>
      <c r="L30" s="2"/>
      <c r="M30" s="2"/>
      <c r="N30" s="2"/>
    </row>
    <row r="31" spans="1:14" ht="14.25" customHeight="1">
      <c r="A31" s="43"/>
      <c r="B31" s="56"/>
      <c r="C31" s="57"/>
      <c r="D31" s="58"/>
      <c r="E31" s="59"/>
      <c r="F31" s="59"/>
      <c r="G31" s="60"/>
      <c r="J31" s="69"/>
      <c r="K31" s="2"/>
      <c r="L31" s="2"/>
      <c r="M31" s="2"/>
      <c r="N31" s="2"/>
    </row>
    <row r="32" spans="1:14" ht="14.25" customHeight="1">
      <c r="A32" s="43"/>
      <c r="B32" s="56"/>
      <c r="C32" s="57"/>
      <c r="D32" s="58"/>
      <c r="E32" s="59"/>
      <c r="F32" s="59"/>
      <c r="G32" s="60"/>
      <c r="H32" s="172" t="s">
        <v>37</v>
      </c>
      <c r="I32" s="173"/>
      <c r="J32" s="174"/>
      <c r="K32" s="2"/>
    </row>
    <row r="33" spans="1:14" ht="14.25" customHeight="1">
      <c r="A33" s="43"/>
      <c r="B33" s="56"/>
      <c r="C33" s="57"/>
      <c r="D33" s="58"/>
      <c r="E33" s="59"/>
      <c r="F33" s="59"/>
      <c r="G33" s="60"/>
      <c r="H33" s="175"/>
      <c r="I33" s="176"/>
      <c r="J33" s="177"/>
      <c r="K33" s="2"/>
    </row>
    <row r="34" spans="1:14" ht="18" customHeight="1">
      <c r="A34" s="43"/>
      <c r="B34" s="40"/>
      <c r="C34" s="40"/>
      <c r="D34" s="40"/>
      <c r="E34" s="40"/>
      <c r="F34" s="40"/>
      <c r="G34" s="44"/>
      <c r="H34" s="178" t="str">
        <f>"  ∴ "&amp;ROUND(H23,1)&amp;" ＞ 147 MN/㎥ "</f>
        <v xml:space="preserve">  ∴ 197.2 ＞ 147 MN/㎥ </v>
      </c>
      <c r="I34" s="179"/>
      <c r="J34" s="180"/>
      <c r="K34" s="2"/>
    </row>
    <row r="35" spans="1:14" ht="18" customHeight="1">
      <c r="A35" s="43"/>
      <c r="B35" s="40"/>
      <c r="C35" s="40"/>
      <c r="D35" s="40"/>
      <c r="E35" s="40"/>
      <c r="F35" s="40"/>
      <c r="G35" s="44"/>
      <c r="H35" s="178"/>
      <c r="I35" s="179"/>
      <c r="J35" s="180"/>
      <c r="K35" s="2"/>
    </row>
    <row r="36" spans="1:14" ht="18" customHeight="1">
      <c r="A36" s="43"/>
      <c r="B36" s="40"/>
      <c r="C36" s="40"/>
      <c r="D36" s="40"/>
      <c r="E36" s="40"/>
      <c r="F36" s="40"/>
      <c r="G36" s="44"/>
      <c r="H36" s="181" t="s">
        <v>38</v>
      </c>
      <c r="I36" s="182"/>
      <c r="J36" s="183"/>
      <c r="K36" s="2"/>
    </row>
    <row r="37" spans="1:14" ht="18" customHeight="1">
      <c r="A37" s="41"/>
      <c r="B37" s="42"/>
      <c r="C37" s="42"/>
      <c r="D37" s="42"/>
      <c r="E37" s="42"/>
      <c r="F37" s="42"/>
      <c r="G37" s="47"/>
      <c r="H37" s="181"/>
      <c r="I37" s="182"/>
      <c r="J37" s="183"/>
      <c r="K37" s="2"/>
    </row>
    <row r="38" spans="1:14" ht="18" customHeight="1">
      <c r="A38" s="184" t="s">
        <v>84</v>
      </c>
      <c r="B38" s="185"/>
      <c r="C38" s="185"/>
      <c r="D38" s="185"/>
      <c r="E38" s="185"/>
      <c r="F38" s="185"/>
      <c r="G38" s="185"/>
      <c r="H38" s="185"/>
      <c r="I38" s="185"/>
      <c r="J38" s="186"/>
      <c r="K38" s="2"/>
      <c r="L38" s="2"/>
      <c r="M38" s="2"/>
      <c r="N38" s="2"/>
    </row>
    <row r="39" spans="1:14" ht="18" customHeight="1">
      <c r="A39" s="187"/>
      <c r="B39" s="188"/>
      <c r="C39" s="188"/>
      <c r="D39" s="188"/>
      <c r="E39" s="188"/>
      <c r="F39" s="188"/>
      <c r="G39" s="188"/>
      <c r="H39" s="188"/>
      <c r="I39" s="188"/>
      <c r="J39" s="189"/>
      <c r="K39" s="2"/>
      <c r="L39" s="2"/>
      <c r="M39" s="2"/>
      <c r="N39" s="2"/>
    </row>
    <row r="40" spans="1:14" ht="18" customHeight="1">
      <c r="A40" s="187"/>
      <c r="B40" s="188"/>
      <c r="C40" s="188"/>
      <c r="D40" s="188"/>
      <c r="E40" s="188"/>
      <c r="F40" s="188"/>
      <c r="G40" s="188"/>
      <c r="H40" s="188"/>
      <c r="I40" s="188"/>
      <c r="J40" s="189"/>
      <c r="K40" s="2"/>
      <c r="L40" s="2"/>
      <c r="M40" s="2"/>
      <c r="N40" s="2"/>
    </row>
    <row r="41" spans="1:14" ht="18" customHeight="1">
      <c r="A41" s="187"/>
      <c r="B41" s="188"/>
      <c r="C41" s="188"/>
      <c r="D41" s="188"/>
      <c r="E41" s="188"/>
      <c r="F41" s="188"/>
      <c r="G41" s="188"/>
      <c r="H41" s="188"/>
      <c r="I41" s="188"/>
      <c r="J41" s="189"/>
      <c r="K41" s="2"/>
      <c r="L41" s="2"/>
      <c r="M41" s="2"/>
      <c r="N41" s="2"/>
    </row>
    <row r="42" spans="1:14" ht="24" customHeight="1">
      <c r="A42" s="190"/>
      <c r="B42" s="191"/>
      <c r="C42" s="191"/>
      <c r="D42" s="191"/>
      <c r="E42" s="191"/>
      <c r="F42" s="191"/>
      <c r="G42" s="191"/>
      <c r="H42" s="191"/>
      <c r="I42" s="191"/>
      <c r="J42" s="192"/>
      <c r="K42" s="2"/>
      <c r="L42" s="2"/>
      <c r="M42" s="2"/>
      <c r="N42" s="2"/>
    </row>
    <row r="43" spans="1:14" ht="34.9" customHeight="1">
      <c r="A43" s="193" t="s">
        <v>83</v>
      </c>
      <c r="B43" s="194"/>
      <c r="C43" s="194"/>
      <c r="D43" s="194"/>
      <c r="E43" s="194"/>
      <c r="F43" s="194"/>
      <c r="G43" s="194"/>
      <c r="H43" s="194"/>
      <c r="I43" s="194"/>
      <c r="J43" s="195"/>
    </row>
    <row r="44" spans="1:14" ht="8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 s="70" customFormat="1" ht="38.25" customHeight="1">
      <c r="A45" s="168" t="s">
        <v>45</v>
      </c>
      <c r="B45" s="168"/>
      <c r="C45" s="168"/>
      <c r="D45" s="168"/>
      <c r="E45" s="168"/>
      <c r="F45" s="168"/>
      <c r="G45" s="168"/>
      <c r="H45" s="168"/>
      <c r="I45" s="168"/>
      <c r="J45" s="168"/>
    </row>
    <row r="46" spans="1:14" s="70" customFormat="1" ht="22.5">
      <c r="A46" s="77" t="s">
        <v>49</v>
      </c>
      <c r="B46" s="74"/>
      <c r="C46" s="75"/>
      <c r="D46" s="71"/>
    </row>
    <row r="47" spans="1:14" s="72" customFormat="1" ht="38.2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4" s="72" customFormat="1" ht="38.2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</row>
    <row r="49" spans="1:10" s="72" customFormat="1" ht="38.2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10" s="72" customFormat="1" ht="38.2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</row>
    <row r="51" spans="1:10" s="72" customFormat="1" ht="38.2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</row>
    <row r="52" spans="1:10" s="72" customFormat="1" ht="38.2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</row>
    <row r="53" spans="1:10" s="73" customFormat="1" ht="38.2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</row>
    <row r="54" spans="1:10" s="73" customFormat="1" ht="24" customHeight="1">
      <c r="A54" s="166">
        <v>1</v>
      </c>
      <c r="B54" s="166"/>
      <c r="C54" s="165" t="s">
        <v>46</v>
      </c>
      <c r="D54" s="165"/>
      <c r="E54" s="167"/>
      <c r="F54" s="167"/>
      <c r="G54" s="167"/>
      <c r="H54" s="167"/>
      <c r="I54" s="167"/>
      <c r="J54" s="167"/>
    </row>
    <row r="55" spans="1:10" s="73" customFormat="1" ht="24" customHeight="1">
      <c r="A55" s="166"/>
      <c r="B55" s="166"/>
      <c r="C55" s="165" t="s">
        <v>47</v>
      </c>
      <c r="D55" s="165"/>
      <c r="E55" s="167"/>
      <c r="F55" s="167"/>
      <c r="G55" s="167"/>
      <c r="H55" s="167"/>
      <c r="I55" s="167"/>
      <c r="J55" s="167"/>
    </row>
    <row r="56" spans="1:10" s="73" customFormat="1" ht="24" customHeight="1">
      <c r="A56" s="166"/>
      <c r="B56" s="166"/>
      <c r="C56" s="165" t="s">
        <v>48</v>
      </c>
      <c r="D56" s="165"/>
      <c r="E56" s="167"/>
      <c r="F56" s="167"/>
      <c r="G56" s="167"/>
      <c r="H56" s="167"/>
      <c r="I56" s="167"/>
      <c r="J56" s="167"/>
    </row>
    <row r="57" spans="1:10" s="72" customFormat="1" ht="38.2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</row>
    <row r="58" spans="1:10" s="72" customFormat="1" ht="38.2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2" customFormat="1" ht="38.2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</row>
    <row r="60" spans="1:10" s="72" customFormat="1" ht="38.2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0" s="72" customFormat="1" ht="38.2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</row>
    <row r="62" spans="1:10" s="72" customFormat="1" ht="38.2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</row>
    <row r="63" spans="1:10" s="73" customFormat="1" ht="38.2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</row>
    <row r="64" spans="1:10" s="73" customFormat="1" ht="24" customHeight="1">
      <c r="A64" s="166">
        <v>2</v>
      </c>
      <c r="B64" s="166"/>
      <c r="C64" s="165" t="s">
        <v>46</v>
      </c>
      <c r="D64" s="165"/>
      <c r="E64" s="167"/>
      <c r="F64" s="167"/>
      <c r="G64" s="167"/>
      <c r="H64" s="167"/>
      <c r="I64" s="167"/>
      <c r="J64" s="167"/>
    </row>
    <row r="65" spans="1:10" s="73" customFormat="1" ht="24" customHeight="1">
      <c r="A65" s="166"/>
      <c r="B65" s="166"/>
      <c r="C65" s="165" t="s">
        <v>47</v>
      </c>
      <c r="D65" s="165"/>
      <c r="E65" s="167"/>
      <c r="F65" s="167"/>
      <c r="G65" s="167"/>
      <c r="H65" s="167"/>
      <c r="I65" s="167"/>
      <c r="J65" s="167"/>
    </row>
    <row r="66" spans="1:10" s="73" customFormat="1" ht="24" customHeight="1">
      <c r="A66" s="166"/>
      <c r="B66" s="166"/>
      <c r="C66" s="165" t="s">
        <v>48</v>
      </c>
      <c r="D66" s="165"/>
      <c r="E66" s="167"/>
      <c r="F66" s="167"/>
      <c r="G66" s="167"/>
      <c r="H66" s="167"/>
      <c r="I66" s="167"/>
      <c r="J66" s="167"/>
    </row>
  </sheetData>
  <mergeCells count="57">
    <mergeCell ref="H7:I8"/>
    <mergeCell ref="J7:J8"/>
    <mergeCell ref="A1:J1"/>
    <mergeCell ref="L1:M2"/>
    <mergeCell ref="B2:E2"/>
    <mergeCell ref="G2:J2"/>
    <mergeCell ref="B3:E3"/>
    <mergeCell ref="G3:J3"/>
    <mergeCell ref="L3:M4"/>
    <mergeCell ref="H4:J4"/>
    <mergeCell ref="A5:A6"/>
    <mergeCell ref="B5:C5"/>
    <mergeCell ref="D5:F5"/>
    <mergeCell ref="G5:G6"/>
    <mergeCell ref="H5:J6"/>
    <mergeCell ref="H9:I10"/>
    <mergeCell ref="J9:J10"/>
    <mergeCell ref="L9:M9"/>
    <mergeCell ref="H11:I12"/>
    <mergeCell ref="J11:J12"/>
    <mergeCell ref="L12:M12"/>
    <mergeCell ref="H13:I14"/>
    <mergeCell ref="J13:J14"/>
    <mergeCell ref="H15:I16"/>
    <mergeCell ref="J15:J16"/>
    <mergeCell ref="L16:L17"/>
    <mergeCell ref="H17:I18"/>
    <mergeCell ref="J17:J18"/>
    <mergeCell ref="A43:J43"/>
    <mergeCell ref="H19:J20"/>
    <mergeCell ref="M20:N20"/>
    <mergeCell ref="H21:J22"/>
    <mergeCell ref="M21:N21"/>
    <mergeCell ref="H23:J24"/>
    <mergeCell ref="H26:J27"/>
    <mergeCell ref="H28:J29"/>
    <mergeCell ref="H32:J33"/>
    <mergeCell ref="H34:J35"/>
    <mergeCell ref="H36:J37"/>
    <mergeCell ref="A38:J42"/>
    <mergeCell ref="A45:J45"/>
    <mergeCell ref="A47:J53"/>
    <mergeCell ref="A54:B56"/>
    <mergeCell ref="C54:D54"/>
    <mergeCell ref="E54:J54"/>
    <mergeCell ref="C55:D55"/>
    <mergeCell ref="E55:J55"/>
    <mergeCell ref="C56:D56"/>
    <mergeCell ref="E56:J56"/>
    <mergeCell ref="A57:J63"/>
    <mergeCell ref="A64:B66"/>
    <mergeCell ref="C64:D64"/>
    <mergeCell ref="E64:J64"/>
    <mergeCell ref="C65:D65"/>
    <mergeCell ref="E65:J65"/>
    <mergeCell ref="C66:D66"/>
    <mergeCell ref="E66:J66"/>
  </mergeCells>
  <phoneticPr fontId="3" type="noConversion"/>
  <pageMargins left="0.70866141732283472" right="0.19685039370078741" top="0.74803149606299213" bottom="0.51181102362204722" header="0.31496062992125984" footer="0.31496062992125984"/>
  <pageSetup paperSize="9" orientation="portrait" r:id="rId1"/>
  <rowBreaks count="1" manualBreakCount="1">
    <brk id="44" max="9" man="1"/>
  </rowBreaks>
  <drawing r:id="rId2"/>
  <legacyDrawing r:id="rId3"/>
</worksheet>
</file>

<file path=docMetadata/LabelInfo.xml><?xml version="1.0" encoding="utf-8"?>
<clbl:labelList xmlns:clbl="http://schemas.microsoft.com/office/2020/mipLabelMetadata">
  <clbl:label id="{43d7489c-57ce-4967-b332-b53a94d66806}" enabled="0" method="" siteId="{43d7489c-57ce-4967-b332-b53a94d668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55</vt:i4>
      </vt:variant>
      <vt:variant>
        <vt:lpstr>이름 지정된 범위</vt:lpstr>
      </vt:variant>
      <vt:variant>
        <vt:i4>53</vt:i4>
      </vt:variant>
    </vt:vector>
  </HeadingPairs>
  <TitlesOfParts>
    <vt:vector size="108" baseType="lpstr">
      <vt:lpstr>AUTO (2)</vt:lpstr>
      <vt:lpstr>AUTO</vt:lpstr>
      <vt:lpstr>List</vt:lpstr>
      <vt:lpstr>49</vt:lpstr>
      <vt:lpstr>48</vt:lpstr>
      <vt:lpstr>47</vt:lpstr>
      <vt:lpstr>46</vt:lpstr>
      <vt:lpstr>45</vt:lpstr>
      <vt:lpstr>44</vt:lpstr>
      <vt:lpstr>43</vt:lpstr>
      <vt:lpstr>42</vt:lpstr>
      <vt:lpstr>41</vt:lpstr>
      <vt:lpstr>40</vt:lpstr>
      <vt:lpstr>39</vt:lpstr>
      <vt:lpstr>38</vt:lpstr>
      <vt:lpstr>37</vt:lpstr>
      <vt:lpstr>36</vt:lpstr>
      <vt:lpstr>35</vt:lpstr>
      <vt:lpstr>34</vt:lpstr>
      <vt:lpstr>33</vt:lpstr>
      <vt:lpstr>32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517</vt:lpstr>
      <vt:lpstr>양식(40)</vt:lpstr>
      <vt:lpstr>양식(30)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'517'!Print_Area</vt:lpstr>
      <vt:lpstr>'6'!Print_Area</vt:lpstr>
      <vt:lpstr>'7'!Print_Area</vt:lpstr>
      <vt:lpstr>'8'!Print_Area</vt:lpstr>
      <vt:lpstr>'9'!Print_Area</vt:lpstr>
      <vt:lpstr>List!Print_Area</vt:lpstr>
      <vt:lpstr>'양식(30)'!Print_Area</vt:lpstr>
      <vt:lpstr>'양식(40)'!Print_Area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</dc:creator>
  <cp:keywords/>
  <dc:description/>
  <cp:lastModifiedBy>USER</cp:lastModifiedBy>
  <cp:revision/>
  <cp:lastPrinted>2026-07-14T07:15:22Z</cp:lastPrinted>
  <dcterms:created xsi:type="dcterms:W3CDTF">2019-10-07T06:06:59Z</dcterms:created>
  <dcterms:modified xsi:type="dcterms:W3CDTF">2026-07-14T07:16:43Z</dcterms:modified>
  <cp:category/>
  <cp:contentStatus/>
</cp:coreProperties>
</file>